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ester Planner" sheetId="1" r:id="rId5"/>
    <sheet state="visible" name="Attd" sheetId="2" r:id="rId6"/>
    <sheet state="visible" name="Marks" sheetId="3" r:id="rId7"/>
    <sheet state="visible" name="Mid" sheetId="4" r:id="rId8"/>
    <sheet state="visible" name="Final" sheetId="5" r:id="rId9"/>
  </sheets>
  <definedNames/>
  <calcPr/>
</workbook>
</file>

<file path=xl/sharedStrings.xml><?xml version="1.0" encoding="utf-8"?>
<sst xmlns="http://schemas.openxmlformats.org/spreadsheetml/2006/main" count="473" uniqueCount="146">
  <si>
    <t>Consultation Timing (@4N136)</t>
  </si>
  <si>
    <t>Monday:</t>
  </si>
  <si>
    <t xml:space="preserve"> 9:30 am to  11 am</t>
  </si>
  <si>
    <t>Tuesday:</t>
  </si>
  <si>
    <r>
      <rPr>
        <rFont val="Arial"/>
        <b/>
        <color theme="1"/>
        <u/>
      </rPr>
      <t>Marks Distribution</t>
    </r>
    <r>
      <rPr>
        <rFont val="Arial"/>
        <b/>
        <color theme="1"/>
      </rPr>
      <t xml:space="preserve">
Assignment [Avg of all the assignment]
Quiz [Best 3 out of 4]
Midterm
Final</t>
    </r>
  </si>
  <si>
    <t>Student ID</t>
  </si>
  <si>
    <t xml:space="preserve">
10%
20%
35%
35%</t>
  </si>
  <si>
    <t>Name</t>
  </si>
  <si>
    <t>Thursday:</t>
  </si>
  <si>
    <t>Q1</t>
  </si>
  <si>
    <t xml:space="preserve"> 11:00 am to  12 30 pm</t>
  </si>
  <si>
    <t>1(10)</t>
  </si>
  <si>
    <t>Saturday:</t>
  </si>
  <si>
    <t xml:space="preserve">Q1 </t>
  </si>
  <si>
    <t>18-06</t>
  </si>
  <si>
    <t>2(5)</t>
  </si>
  <si>
    <t>Q2</t>
  </si>
  <si>
    <t>3(10)</t>
  </si>
  <si>
    <t>Q3</t>
  </si>
  <si>
    <t>20-06</t>
  </si>
  <si>
    <t>4(10)</t>
  </si>
  <si>
    <t>Q4</t>
  </si>
  <si>
    <t>25-06</t>
  </si>
  <si>
    <t>Q5</t>
  </si>
  <si>
    <t>5(10)</t>
  </si>
  <si>
    <t>27-06</t>
  </si>
  <si>
    <t>Quiz (20)</t>
  </si>
  <si>
    <t>6(5)</t>
  </si>
  <si>
    <t xml:space="preserve">Date </t>
  </si>
  <si>
    <t xml:space="preserve">A1 </t>
  </si>
  <si>
    <t>A2</t>
  </si>
  <si>
    <t>A3</t>
  </si>
  <si>
    <t>A4</t>
  </si>
  <si>
    <t>Assg(10)</t>
  </si>
  <si>
    <t xml:space="preserve">Week </t>
  </si>
  <si>
    <t xml:space="preserve">Quiz </t>
  </si>
  <si>
    <t>Assignment</t>
  </si>
  <si>
    <t>Topics Covered</t>
  </si>
  <si>
    <t>Mid [35]</t>
  </si>
  <si>
    <t>11-Jun (Thursday)</t>
  </si>
  <si>
    <t>Total Absent</t>
  </si>
  <si>
    <t>Final [35]</t>
  </si>
  <si>
    <t>Faria Zaman</t>
  </si>
  <si>
    <t>Total [100]</t>
  </si>
  <si>
    <t>A</t>
  </si>
  <si>
    <t>Intro + Language, String, Alphabet &amp; Language</t>
  </si>
  <si>
    <t>Submitted To Connect</t>
  </si>
  <si>
    <t>13-Jun (Saturday)</t>
  </si>
  <si>
    <t>Total (50)</t>
  </si>
  <si>
    <t xml:space="preserve">DFA 1 : Intro </t>
  </si>
  <si>
    <t>Conv. Total (35)</t>
  </si>
  <si>
    <t>18-Jun (Thursday)</t>
  </si>
  <si>
    <t>DFA 2</t>
  </si>
  <si>
    <t>20-Jun  (Saturday)</t>
  </si>
  <si>
    <t>DFA3 &amp; Cross product Rule</t>
  </si>
  <si>
    <t>25-Jun (Thursday)</t>
  </si>
  <si>
    <t>NFA 1 : Intro</t>
  </si>
  <si>
    <t>27-Jun  (Saturday)</t>
  </si>
  <si>
    <t>NFA 2 &amp; NFA to DFA</t>
  </si>
  <si>
    <t>02-July (Thursday)</t>
  </si>
  <si>
    <t>Regular Language and Regular Expression</t>
  </si>
  <si>
    <t>04-July  (Saturday)</t>
  </si>
  <si>
    <t xml:space="preserve">Regex 2 </t>
  </si>
  <si>
    <t>09-July (Thursday)</t>
  </si>
  <si>
    <t>Quiz 1 (L1,L2)</t>
  </si>
  <si>
    <t>Assignment 1 Deadline</t>
  </si>
  <si>
    <t>11-July  (Saturday)</t>
  </si>
  <si>
    <t>RegEx to NFA &amp; DFA to RegEx</t>
  </si>
  <si>
    <t>16-July (Thursday)</t>
  </si>
  <si>
    <t>Quiz 2 (L3 &amp; L4)</t>
  </si>
  <si>
    <t>Assignment 2 Deadline</t>
  </si>
  <si>
    <t>18-July  (Saturday)</t>
  </si>
  <si>
    <t>Non Regular Language, Pumping Lemma</t>
  </si>
  <si>
    <t>23-July (Thursday)</t>
  </si>
  <si>
    <t>Q/A session</t>
  </si>
  <si>
    <t>MID WEEK</t>
  </si>
  <si>
    <t>L5: Pumping Lemma</t>
  </si>
  <si>
    <t>Pg  77 - 81</t>
  </si>
  <si>
    <t>L6: CFG</t>
  </si>
  <si>
    <t>Pg 102 - 108</t>
  </si>
  <si>
    <t>13/8/26</t>
  </si>
  <si>
    <t>15/8/26</t>
  </si>
  <si>
    <t>L7: PDA 1</t>
  </si>
  <si>
    <t>Pg 111 - 124</t>
  </si>
  <si>
    <t>20/8/26</t>
  </si>
  <si>
    <t>Quiz 3 (L5,L6)</t>
  </si>
  <si>
    <t>Arnab Debnath</t>
  </si>
  <si>
    <t>Assignment 3 Deadline</t>
  </si>
  <si>
    <t>Online Class</t>
  </si>
  <si>
    <t>L7: PDA 2</t>
  </si>
  <si>
    <t>22/8/26</t>
  </si>
  <si>
    <t>L8: TM 1</t>
  </si>
  <si>
    <t>Notes Folder. Book: 165-182,  193-210, 215 - 238</t>
  </si>
  <si>
    <t>27/8/26</t>
  </si>
  <si>
    <t>L8: TM 2</t>
  </si>
  <si>
    <t>29/8/26</t>
  </si>
  <si>
    <t>L8: TM 3</t>
  </si>
  <si>
    <t>Mohammad Ethmam Bin Halim</t>
  </si>
  <si>
    <t>L8: TM 4</t>
  </si>
  <si>
    <t>Quiz 4 (L7 &amp; L8)</t>
  </si>
  <si>
    <t>Assignment 4 Deadline</t>
  </si>
  <si>
    <t>Lamia Chowdhury</t>
  </si>
  <si>
    <t>Nafis Fuyad</t>
  </si>
  <si>
    <t>Pushpita Rahman</t>
  </si>
  <si>
    <t>Ramisa Faria</t>
  </si>
  <si>
    <t>Amir Abrar Akib</t>
  </si>
  <si>
    <t>Zaima Tasnim Raina</t>
  </si>
  <si>
    <t>Syed Mahmud Rafid</t>
  </si>
  <si>
    <t>Saiyara Hasan</t>
  </si>
  <si>
    <t>Maisha Maliha Mim</t>
  </si>
  <si>
    <t>Masrur H. Juberee</t>
  </si>
  <si>
    <t>Muktadir Rahman</t>
  </si>
  <si>
    <t>Safwan Noor</t>
  </si>
  <si>
    <t>Mahmud Iqubal Anonno</t>
  </si>
  <si>
    <t>Rudmila Nawar</t>
  </si>
  <si>
    <t>Aurangajeb Azad</t>
  </si>
  <si>
    <t>Md. Shahariar Nafiz Salman</t>
  </si>
  <si>
    <t xml:space="preserve">   </t>
  </si>
  <si>
    <t>Md Junayeed Bin Reja</t>
  </si>
  <si>
    <t>Absent &gt;=9 , then Student Barred from Final Exam</t>
  </si>
  <si>
    <t>N</t>
  </si>
  <si>
    <t>Kazi Shadid Hossain</t>
  </si>
  <si>
    <t>Ahnaf Wasif Fahim</t>
  </si>
  <si>
    <t>Raiyan Ibne Mehraj</t>
  </si>
  <si>
    <t>Farhan Hasin</t>
  </si>
  <si>
    <t>Zarin Tasnim Sneha</t>
  </si>
  <si>
    <t>Lamia Iqbal</t>
  </si>
  <si>
    <t>Rafid Bin Nasir</t>
  </si>
  <si>
    <t>Shahida Rahman</t>
  </si>
  <si>
    <t>Md Mahi Hyder</t>
  </si>
  <si>
    <t>Quazi Naqibul Alam</t>
  </si>
  <si>
    <t>Moumita Das</t>
  </si>
  <si>
    <t>Firoza Nudrat Noor</t>
  </si>
  <si>
    <t>Rehnuma Tasmim Raisa</t>
  </si>
  <si>
    <t>Fatin Rahman</t>
  </si>
  <si>
    <t>Saima Islam Shamonti</t>
  </si>
  <si>
    <t>Mir Mainul Ahmed</t>
  </si>
  <si>
    <t>Ambia Nahar Binte Azad Arpita</t>
  </si>
  <si>
    <t>M. Shahidullah Ruhan</t>
  </si>
  <si>
    <t>1(5)</t>
  </si>
  <si>
    <t>2(10)</t>
  </si>
  <si>
    <t>5(5)</t>
  </si>
  <si>
    <t>6(10)</t>
  </si>
  <si>
    <t>7 Bonus(7)</t>
  </si>
  <si>
    <t>Total (35)</t>
  </si>
  <si>
    <t xml:space="preserve">Auto Grade Up by 1 marks, so if you get 89, you automatically get 90.     Mark is only increased from quiz and assignment.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</si>
</sst>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m-dd"/>
    <numFmt numFmtId="166" formatCode="m/d/yy"/>
    <numFmt numFmtId="167" formatCode="mm/dd/yyyy"/>
    <numFmt numFmtId="168" formatCode="mm/dd/yy"/>
  </numFmts>
  <fonts count="16">
    <font>
      <sz val="10.0"/>
      <color rgb="FF000000"/>
      <name val="Arial"/>
      <scheme val="minor"/>
    </font>
    <font>
      <sz val="21.0"/>
      <color theme="1"/>
      <name val="Lexend"/>
    </font>
    <font>
      <color theme="1"/>
      <name val="Arial"/>
    </font>
    <font>
      <sz val="15.0"/>
      <color theme="1"/>
      <name val="Georgia"/>
    </font>
    <font>
      <b/>
      <color theme="1"/>
      <name val="Arial"/>
    </font>
    <font>
      <b/>
      <sz val="11.0"/>
      <color theme="1"/>
      <name val="Lexend"/>
    </font>
    <font>
      <color theme="1"/>
      <name val="Arial"/>
      <scheme val="minor"/>
    </font>
    <font>
      <color theme="1"/>
      <name val="Georgia"/>
    </font>
    <font>
      <sz val="13.0"/>
      <color theme="1"/>
      <name val="Lexend"/>
    </font>
    <font>
      <sz val="13.0"/>
      <color theme="1"/>
      <name val="Arial"/>
    </font>
    <font>
      <sz val="26.0"/>
      <color theme="1"/>
      <name val="Oswald"/>
    </font>
    <font>
      <b/>
      <color theme="1"/>
      <name val="Lexend"/>
    </font>
    <font>
      <sz val="11.0"/>
      <color theme="1"/>
      <name val="Arial"/>
    </font>
    <font>
      <sz val="13.0"/>
      <color theme="1"/>
      <name val="Oswald"/>
    </font>
    <font>
      <b/>
      <sz val="29.0"/>
      <color theme="1"/>
      <name val="Lexend"/>
    </font>
    <font>
      <color rgb="FFFF0000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9900FF"/>
        <bgColor rgb="FF9900FF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rgb="FFF4CCCC"/>
        <bgColor rgb="FFF4CCCC"/>
      </patternFill>
    </fill>
    <fill>
      <patternFill patternType="solid">
        <fgColor rgb="FFE0F7FA"/>
        <bgColor rgb="FFE0F7FA"/>
      </patternFill>
    </fill>
    <fill>
      <patternFill patternType="solid">
        <fgColor rgb="FFB7E1CD"/>
        <bgColor rgb="FFB7E1CD"/>
      </patternFill>
    </fill>
    <fill>
      <patternFill patternType="solid">
        <fgColor rgb="FFFF6D01"/>
        <bgColor rgb="FFFF6D01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4" numFmtId="164" xfId="0" applyAlignment="1" applyFill="1" applyFont="1" applyNumberFormat="1">
      <alignment readingOrder="0"/>
    </xf>
    <xf borderId="0" fillId="4" fontId="5" numFmtId="0" xfId="0" applyAlignment="1" applyFill="1" applyFont="1">
      <alignment horizontal="center" vertical="bottom"/>
    </xf>
    <xf borderId="0" fillId="3" fontId="4" numFmtId="164" xfId="0" applyFill="1" applyFont="1" applyNumberFormat="1"/>
    <xf borderId="0" fillId="5" fontId="5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0" fillId="4" fontId="5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5" fontId="4" numFmtId="0" xfId="0" applyAlignment="1" applyFill="1" applyFont="1">
      <alignment vertical="bottom"/>
    </xf>
    <xf borderId="0" fillId="4" fontId="5" numFmtId="0" xfId="0" applyAlignment="1" applyFill="1" applyFont="1">
      <alignment horizontal="center" readingOrder="0" vertical="bottom"/>
    </xf>
    <xf borderId="0" fillId="4" fontId="6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4" fontId="6" numFmtId="0" xfId="0" applyFill="1" applyFont="1"/>
    <xf borderId="0" fillId="6" fontId="5" numFmtId="0" xfId="0" applyAlignment="1" applyFill="1" applyFont="1">
      <alignment horizontal="center" readingOrder="0" vertical="bottom"/>
    </xf>
    <xf borderId="0" fillId="4" fontId="6" numFmtId="165" xfId="0" applyAlignment="1" applyFill="1" applyFont="1" applyNumberFormat="1">
      <alignment readingOrder="0"/>
    </xf>
    <xf borderId="0" fillId="7" fontId="10" numFmtId="0" xfId="0" applyAlignment="1" applyFill="1" applyFont="1">
      <alignment vertical="bottom"/>
    </xf>
    <xf borderId="0" fillId="8" fontId="5" numFmtId="0" xfId="0" applyAlignment="1" applyFill="1" applyFont="1">
      <alignment horizontal="center" readingOrder="0" vertical="bottom"/>
    </xf>
    <xf borderId="0" fillId="9" fontId="11" numFmtId="0" xfId="0" applyAlignment="1" applyFill="1" applyFont="1">
      <alignment readingOrder="0" shrinkToFit="0" vertical="bottom" wrapText="1"/>
    </xf>
    <xf borderId="0" fillId="0" fontId="12" numFmtId="0" xfId="0" applyAlignment="1" applyFont="1">
      <alignment horizontal="center" readingOrder="0" vertical="bottom"/>
    </xf>
    <xf borderId="0" fillId="10" fontId="11" numFmtId="0" xfId="0" applyAlignment="1" applyFill="1" applyFont="1">
      <alignment readingOrder="0" shrinkToFit="0" vertical="bottom" wrapText="1"/>
    </xf>
    <xf borderId="0" fillId="0" fontId="6" numFmtId="0" xfId="0" applyAlignment="1" applyFont="1">
      <alignment horizontal="center" readingOrder="0"/>
    </xf>
    <xf borderId="0" fillId="0" fontId="12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11" fontId="11" numFmtId="0" xfId="0" applyAlignment="1" applyFill="1" applyFont="1">
      <alignment horizontal="center" shrinkToFit="0" vertical="bottom" wrapText="1"/>
    </xf>
    <xf borderId="0" fillId="5" fontId="4" numFmtId="0" xfId="0" applyAlignment="1" applyFill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6" numFmtId="0" xfId="0" applyAlignment="1" applyFont="1">
      <alignment horizontal="center"/>
    </xf>
    <xf borderId="0" fillId="12" fontId="2" numFmtId="0" xfId="0" applyAlignment="1" applyFill="1" applyFont="1">
      <alignment horizontal="center" vertical="bottom"/>
    </xf>
    <xf borderId="0" fillId="12" fontId="2" numFmtId="0" xfId="0" applyAlignment="1" applyFill="1" applyFont="1">
      <alignment vertical="bottom"/>
    </xf>
    <xf borderId="0" fillId="13" fontId="13" numFmtId="0" xfId="0" applyAlignment="1" applyFill="1" applyFont="1">
      <alignment horizontal="center" vertical="bottom"/>
    </xf>
    <xf borderId="0" fillId="9" fontId="13" numFmtId="0" xfId="0" applyAlignment="1" applyFill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readingOrder="0" vertical="bottom"/>
    </xf>
    <xf borderId="0" fillId="12" fontId="2" numFmtId="0" xfId="0" applyAlignment="1" applyFill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14" fontId="14" numFmtId="0" xfId="0" applyAlignment="1" applyFill="1" applyFon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167" xfId="0" applyAlignment="1" applyFont="1" applyNumberFormat="1">
      <alignment horizontal="center" vertical="bottom"/>
    </xf>
    <xf borderId="0" fillId="0" fontId="6" numFmtId="0" xfId="0" applyFont="1"/>
    <xf borderId="0" fillId="15" fontId="2" numFmtId="0" xfId="0" applyAlignment="1" applyFill="1" applyFont="1">
      <alignment horizontal="center" vertical="bottom"/>
    </xf>
    <xf borderId="0" fillId="13" fontId="13" numFmtId="0" xfId="0" applyAlignment="1" applyFill="1" applyFont="1">
      <alignment horizontal="center" readingOrder="0" vertical="bottom"/>
    </xf>
    <xf borderId="0" fillId="15" fontId="2" numFmtId="0" xfId="0" applyAlignment="1" applyFill="1" applyFont="1">
      <alignment vertical="bottom"/>
    </xf>
    <xf borderId="0" fillId="9" fontId="13" numFmtId="0" xfId="0" applyAlignment="1" applyFill="1" applyFont="1">
      <alignment horizontal="center" readingOrder="0" vertical="bottom"/>
    </xf>
    <xf borderId="0" fillId="15" fontId="2" numFmtId="0" xfId="0" applyAlignment="1" applyFill="1" applyFont="1">
      <alignment horizontal="right" vertical="bottom"/>
    </xf>
    <xf borderId="0" fillId="0" fontId="6" numFmtId="0" xfId="0" applyAlignment="1" applyFont="1">
      <alignment horizontal="center" readingOrder="0" shrinkToFit="0" vertical="center" wrapText="1"/>
    </xf>
    <xf borderId="0" fillId="0" fontId="2" numFmtId="168" xfId="0" applyAlignment="1" applyFont="1" applyNumberFormat="1">
      <alignment horizontal="center" vertical="bottom"/>
    </xf>
    <xf borderId="0" fillId="12" fontId="2" numFmtId="0" xfId="0" applyAlignment="1" applyFill="1" applyFont="1">
      <alignment readingOrder="0" vertical="bottom"/>
    </xf>
    <xf borderId="0" fillId="12" fontId="2" numFmtId="0" xfId="0" applyAlignment="1" applyFill="1" applyFont="1">
      <alignment horizontal="right" readingOrder="0" vertical="bottom"/>
    </xf>
    <xf borderId="0" fillId="16" fontId="2" numFmtId="0" xfId="0" applyAlignment="1" applyFill="1" applyFont="1">
      <alignment horizontal="right" vertical="bottom"/>
    </xf>
    <xf borderId="0" fillId="15" fontId="2" numFmtId="0" xfId="0" applyAlignment="1" applyFill="1" applyFont="1">
      <alignment horizontal="right" readingOrder="0" vertical="bottom"/>
    </xf>
    <xf borderId="0" fillId="17" fontId="2" numFmtId="0" xfId="0" applyAlignment="1" applyFill="1" applyFont="1">
      <alignment horizontal="center" vertical="bottom"/>
    </xf>
    <xf borderId="0" fillId="15" fontId="2" numFmtId="0" xfId="0" applyAlignment="1" applyFill="1" applyFont="1">
      <alignment horizontal="right" vertical="bottom"/>
    </xf>
    <xf borderId="0" fillId="0" fontId="6" numFmtId="0" xfId="0" applyFont="1"/>
    <xf borderId="0" fillId="6" fontId="2" numFmtId="0" xfId="0" applyAlignment="1" applyFill="1" applyFont="1">
      <alignment horizontal="center" vertical="bottom"/>
    </xf>
    <xf borderId="0" fillId="0" fontId="15" numFmtId="0" xfId="0" applyAlignment="1" applyFont="1">
      <alignment horizontal="center" readingOrder="0"/>
    </xf>
    <xf borderId="0" fillId="0" fontId="6" numFmtId="0" xfId="0" applyAlignment="1" applyFont="1">
      <alignment readingOrder="0" shrinkToFit="0" wrapText="1"/>
    </xf>
    <xf borderId="0" fillId="14" fontId="6" numFmtId="0" xfId="0" applyAlignment="1" applyFill="1" applyFont="1">
      <alignment readingOrder="0"/>
    </xf>
    <xf borderId="0" fillId="15" fontId="2" numFmtId="0" xfId="0" applyAlignment="1" applyFill="1" applyFont="1">
      <alignment readingOrder="0" vertical="bottom"/>
    </xf>
    <xf borderId="0" fillId="0" fontId="6" numFmtId="0" xfId="0" applyAlignment="1" applyFont="1">
      <alignment horizontal="center"/>
    </xf>
    <xf borderId="0" fillId="5" fontId="4" numFmtId="2" xfId="0" applyAlignment="1" applyFill="1" applyFont="1" applyNumberFormat="1">
      <alignment vertical="bottom"/>
    </xf>
    <xf borderId="0" fillId="6" fontId="6" numFmtId="0" xfId="0" applyAlignment="1" applyFill="1" applyFont="1">
      <alignment readingOrder="0"/>
    </xf>
    <xf borderId="0" fillId="12" fontId="2" numFmtId="2" xfId="0" applyAlignment="1" applyFill="1" applyFont="1" applyNumberFormat="1">
      <alignment horizontal="right" vertical="bottom"/>
    </xf>
    <xf borderId="0" fillId="15" fontId="2" numFmtId="2" xfId="0" applyAlignment="1" applyFill="1" applyFont="1" applyNumberFormat="1">
      <alignment horizontal="right" vertical="bottom"/>
    </xf>
    <xf borderId="0" fillId="0" fontId="6" numFmtId="0" xfId="0" applyAlignment="1" applyFont="1">
      <alignment horizontal="center" readingOrder="0"/>
    </xf>
    <xf borderId="0" fillId="0" fontId="6" numFmtId="2" xfId="0" applyFont="1" applyNumberFormat="1"/>
    <xf borderId="0" fillId="18" fontId="6" numFmtId="0" xfId="0" applyFill="1" applyFont="1"/>
    <xf borderId="0" fillId="15" fontId="2" numFmtId="2" xfId="0" applyAlignment="1" applyFill="1" applyFont="1" applyNumberFormat="1">
      <alignment horizontal="right" readingOrder="0" vertical="bottom"/>
    </xf>
    <xf borderId="0" fillId="2" fontId="6" numFmtId="0" xfId="0" applyAlignment="1" applyFill="1" applyFont="1">
      <alignment readingOrder="0"/>
    </xf>
    <xf borderId="0" fillId="19" fontId="6" numFmtId="0" xfId="0" applyAlignment="1" applyFill="1" applyFont="1">
      <alignment readingOrder="0"/>
    </xf>
    <xf borderId="0" fillId="2" fontId="6" numFmtId="0" xfId="0" applyAlignment="1" applyFill="1" applyFont="1">
      <alignment readingOrder="0"/>
    </xf>
    <xf borderId="0" fillId="19" fontId="6" numFmtId="0" xfId="0" applyFill="1" applyFont="1"/>
    <xf borderId="0" fillId="20" fontId="6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4">
    <tableStyle count="2" pivot="0" name="Marks-style">
      <tableStyleElement dxfId="1" type="firstRowStripe"/>
      <tableStyleElement dxfId="2" type="secondRowStripe"/>
    </tableStyle>
    <tableStyle count="2" pivot="0" name="Mid-style">
      <tableStyleElement dxfId="1" type="firstRowStripe"/>
      <tableStyleElement dxfId="2" type="secondRowStripe"/>
    </tableStyle>
    <tableStyle count="2" pivot="0" name="Attd-style">
      <tableStyleElement dxfId="1" type="firstRowStripe"/>
      <tableStyleElement dxfId="2" type="secondRowStripe"/>
    </tableStyle>
    <tableStyle count="2" pivot="0" name="Fina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542925</xdr:colOff>
      <xdr:row>19</xdr:row>
      <xdr:rowOff>19050</xdr:rowOff>
    </xdr:from>
    <xdr:ext cx="4524375" cy="3514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V40" displayName="Table_3" name="Table_3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Attd-style" showColumnStripes="0" showFirstColumn="1" showLastColumn="1" showRowStripes="1"/>
</table>
</file>

<file path=xl/tables/table2.xml><?xml version="1.0" encoding="utf-8"?>
<table xmlns="http://schemas.openxmlformats.org/spreadsheetml/2006/main" headerRowCount="0" ref="C8:T45" displayName="Table_1" name="Table_1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Marks-style" showColumnStripes="0" showFirstColumn="1" showLastColumn="1" showRowStripes="1"/>
</table>
</file>

<file path=xl/tables/table3.xml><?xml version="1.0" encoding="utf-8"?>
<table xmlns="http://schemas.openxmlformats.org/spreadsheetml/2006/main" headerRowCount="0" ref="C6:M43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id-style" showColumnStripes="0" showFirstColumn="1" showLastColumn="1" showRowStripes="1"/>
</table>
</file>

<file path=xl/tables/table4.xml><?xml version="1.0" encoding="utf-8"?>
<table xmlns="http://schemas.openxmlformats.org/spreadsheetml/2006/main" headerRowCount="0" ref="B6:M4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i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13.13"/>
    <col customWidth="1" min="4" max="4" width="17.75"/>
    <col customWidth="1" min="5" max="5" width="28.88"/>
    <col customWidth="1" min="6" max="6" width="41.13"/>
    <col customWidth="1" min="8" max="8" width="32.5"/>
  </cols>
  <sheetData>
    <row r="4">
      <c r="B4" s="1" t="s">
        <v>0</v>
      </c>
      <c r="C4" s="2"/>
      <c r="D4" s="3" t="s">
        <v>1</v>
      </c>
      <c r="E4" s="3" t="s">
        <v>2</v>
      </c>
      <c r="F4" s="2"/>
      <c r="G4" s="2"/>
    </row>
    <row r="5">
      <c r="C5" s="2"/>
      <c r="D5" s="3" t="s">
        <v>3</v>
      </c>
      <c r="E5" s="3" t="s">
        <v>2</v>
      </c>
      <c r="F5" s="2"/>
      <c r="G5" s="2"/>
      <c r="H5" s="4" t="s">
        <v>4</v>
      </c>
      <c r="I5" s="6" t="s">
        <v>6</v>
      </c>
    </row>
    <row r="6">
      <c r="C6" s="2"/>
      <c r="D6" s="8" t="s">
        <v>8</v>
      </c>
      <c r="E6" s="3" t="s">
        <v>10</v>
      </c>
      <c r="F6" s="2"/>
      <c r="G6" s="2"/>
    </row>
    <row r="7">
      <c r="C7" s="2"/>
      <c r="D7" s="8" t="s">
        <v>12</v>
      </c>
      <c r="E7" s="3" t="s">
        <v>10</v>
      </c>
      <c r="F7" s="11"/>
      <c r="G7" s="11"/>
    </row>
    <row r="8">
      <c r="C8" s="2"/>
      <c r="D8" s="15"/>
      <c r="E8" s="16"/>
      <c r="F8" s="11"/>
      <c r="G8" s="11"/>
    </row>
    <row r="11">
      <c r="B11" s="20" t="s">
        <v>28</v>
      </c>
      <c r="C11" s="20" t="s">
        <v>34</v>
      </c>
      <c r="D11" s="20" t="s">
        <v>35</v>
      </c>
      <c r="E11" s="20" t="s">
        <v>36</v>
      </c>
      <c r="F11" s="20" t="s">
        <v>37</v>
      </c>
    </row>
    <row r="12">
      <c r="B12" s="23" t="s">
        <v>39</v>
      </c>
      <c r="C12" s="26">
        <v>1.1</v>
      </c>
      <c r="D12" s="2"/>
      <c r="E12" s="2"/>
      <c r="F12" s="30" t="s">
        <v>45</v>
      </c>
    </row>
    <row r="13">
      <c r="B13" s="23" t="s">
        <v>47</v>
      </c>
      <c r="C13" s="26">
        <v>1.2</v>
      </c>
      <c r="D13" s="2"/>
      <c r="E13" s="2"/>
      <c r="F13" s="30" t="s">
        <v>49</v>
      </c>
    </row>
    <row r="14">
      <c r="B14" s="23" t="s">
        <v>51</v>
      </c>
      <c r="C14" s="26">
        <v>2.1</v>
      </c>
      <c r="D14" s="2"/>
      <c r="E14" s="2"/>
      <c r="F14" s="30" t="s">
        <v>52</v>
      </c>
    </row>
    <row r="15">
      <c r="B15" s="23" t="s">
        <v>53</v>
      </c>
      <c r="C15" s="26">
        <v>2.2</v>
      </c>
      <c r="D15" s="2"/>
      <c r="E15" s="2"/>
      <c r="F15" s="30" t="s">
        <v>54</v>
      </c>
    </row>
    <row r="16">
      <c r="B16" s="23" t="s">
        <v>55</v>
      </c>
      <c r="C16" s="26">
        <v>3.1</v>
      </c>
      <c r="F16" s="30" t="s">
        <v>56</v>
      </c>
    </row>
    <row r="17">
      <c r="B17" s="23" t="s">
        <v>57</v>
      </c>
      <c r="C17" s="26">
        <v>3.2</v>
      </c>
      <c r="D17" s="2"/>
      <c r="E17" s="2"/>
      <c r="F17" s="30" t="s">
        <v>58</v>
      </c>
    </row>
    <row r="18">
      <c r="B18" s="23" t="s">
        <v>59</v>
      </c>
      <c r="C18" s="26">
        <v>4.1</v>
      </c>
      <c r="F18" s="30" t="s">
        <v>60</v>
      </c>
    </row>
    <row r="19">
      <c r="B19" s="23" t="s">
        <v>61</v>
      </c>
      <c r="C19" s="26">
        <v>4.2</v>
      </c>
      <c r="D19" s="2"/>
      <c r="E19" s="2"/>
      <c r="F19" s="30" t="s">
        <v>62</v>
      </c>
    </row>
    <row r="20">
      <c r="B20" s="23" t="s">
        <v>63</v>
      </c>
      <c r="C20" s="26">
        <v>5.1</v>
      </c>
      <c r="D20" s="34" t="s">
        <v>64</v>
      </c>
      <c r="E20" s="35" t="s">
        <v>65</v>
      </c>
      <c r="F20" s="36"/>
    </row>
    <row r="21">
      <c r="B21" s="23" t="s">
        <v>66</v>
      </c>
      <c r="C21" s="26">
        <v>5.2</v>
      </c>
      <c r="F21" s="30" t="s">
        <v>67</v>
      </c>
    </row>
    <row r="22">
      <c r="B22" s="23" t="s">
        <v>68</v>
      </c>
      <c r="C22" s="26">
        <v>6.1</v>
      </c>
      <c r="D22" s="34" t="s">
        <v>69</v>
      </c>
      <c r="E22" s="35" t="s">
        <v>70</v>
      </c>
      <c r="F22" s="36"/>
    </row>
    <row r="23">
      <c r="B23" s="23" t="s">
        <v>71</v>
      </c>
      <c r="C23" s="37">
        <v>6.2</v>
      </c>
      <c r="D23" s="2"/>
      <c r="E23" s="2"/>
      <c r="F23" s="30" t="s">
        <v>72</v>
      </c>
    </row>
    <row r="24">
      <c r="B24" s="23" t="s">
        <v>73</v>
      </c>
      <c r="C24" s="9">
        <v>7.1</v>
      </c>
      <c r="D24" s="2"/>
      <c r="E24" s="2"/>
      <c r="F24" s="36" t="s">
        <v>74</v>
      </c>
    </row>
    <row r="25">
      <c r="B25" s="39"/>
      <c r="C25" s="40" t="s">
        <v>75</v>
      </c>
    </row>
    <row r="26">
      <c r="B26" s="39"/>
    </row>
    <row r="27">
      <c r="B27" s="41">
        <v>46181.0</v>
      </c>
      <c r="C27" s="41"/>
      <c r="D27" s="2"/>
      <c r="E27" s="2"/>
      <c r="F27" s="42" t="s">
        <v>76</v>
      </c>
      <c r="G27" s="9" t="s">
        <v>77</v>
      </c>
    </row>
    <row r="28">
      <c r="B28" s="41">
        <v>46242.0</v>
      </c>
      <c r="C28" s="41"/>
      <c r="D28" s="2"/>
      <c r="E28" s="2"/>
      <c r="F28" s="42" t="s">
        <v>78</v>
      </c>
      <c r="G28" s="9" t="s">
        <v>79</v>
      </c>
    </row>
    <row r="29">
      <c r="B29" s="43" t="s">
        <v>80</v>
      </c>
      <c r="C29" s="41"/>
      <c r="D29" s="2"/>
      <c r="E29" s="2"/>
      <c r="F29" s="42" t="s">
        <v>78</v>
      </c>
    </row>
    <row r="30">
      <c r="B30" s="43" t="s">
        <v>81</v>
      </c>
      <c r="C30" s="41"/>
      <c r="D30" s="2"/>
      <c r="E30" s="2"/>
      <c r="F30" s="42" t="s">
        <v>82</v>
      </c>
      <c r="G30" s="9" t="s">
        <v>83</v>
      </c>
    </row>
    <row r="31">
      <c r="B31" s="39" t="s">
        <v>84</v>
      </c>
      <c r="C31" s="39"/>
      <c r="D31" s="46" t="s">
        <v>85</v>
      </c>
      <c r="E31" s="48" t="s">
        <v>87</v>
      </c>
      <c r="F31" s="42" t="s">
        <v>18</v>
      </c>
    </row>
    <row r="32">
      <c r="B32" s="9" t="s">
        <v>88</v>
      </c>
      <c r="C32" s="39"/>
      <c r="D32" s="2"/>
      <c r="E32" s="2"/>
      <c r="F32" s="42" t="s">
        <v>89</v>
      </c>
    </row>
    <row r="33">
      <c r="B33" s="39" t="s">
        <v>90</v>
      </c>
      <c r="C33" s="39"/>
      <c r="D33" s="2"/>
      <c r="E33" s="2"/>
      <c r="F33" s="42" t="s">
        <v>91</v>
      </c>
      <c r="G33" s="50" t="s">
        <v>92</v>
      </c>
    </row>
    <row r="34">
      <c r="B34" s="39" t="s">
        <v>93</v>
      </c>
      <c r="C34" s="41"/>
      <c r="D34" s="2"/>
      <c r="E34" s="2"/>
      <c r="F34" s="42" t="s">
        <v>94</v>
      </c>
    </row>
    <row r="35">
      <c r="B35" s="39" t="s">
        <v>95</v>
      </c>
      <c r="C35" s="41"/>
      <c r="D35" s="2"/>
      <c r="E35" s="2"/>
      <c r="F35" s="42" t="s">
        <v>96</v>
      </c>
    </row>
    <row r="36">
      <c r="B36" s="51">
        <v>46090.0</v>
      </c>
      <c r="C36" s="2"/>
      <c r="D36" s="2"/>
      <c r="E36" s="2"/>
      <c r="F36" s="42" t="s">
        <v>98</v>
      </c>
    </row>
    <row r="37">
      <c r="B37" s="51">
        <v>46151.0</v>
      </c>
      <c r="C37" s="2"/>
      <c r="D37" s="46" t="s">
        <v>99</v>
      </c>
      <c r="E37" s="48" t="s">
        <v>100</v>
      </c>
      <c r="F37" s="42" t="s">
        <v>21</v>
      </c>
    </row>
    <row r="38">
      <c r="B38" s="43"/>
      <c r="C38" s="2"/>
      <c r="D38" s="2"/>
      <c r="E38" s="2"/>
      <c r="F38" s="2"/>
    </row>
    <row r="39">
      <c r="B39" s="43"/>
      <c r="C39" s="2"/>
      <c r="D39" s="2"/>
      <c r="E39" s="2"/>
      <c r="F39" s="2"/>
    </row>
    <row r="40">
      <c r="B40" s="43"/>
      <c r="C40" s="2"/>
      <c r="D40" s="2"/>
      <c r="E40" s="2"/>
      <c r="F40" s="2"/>
    </row>
  </sheetData>
  <mergeCells count="7">
    <mergeCell ref="B4:B8"/>
    <mergeCell ref="H5:H7"/>
    <mergeCell ref="I5:I7"/>
    <mergeCell ref="C25:F26"/>
    <mergeCell ref="G28:G29"/>
    <mergeCell ref="G30:G32"/>
    <mergeCell ref="G33:G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38"/>
    <col customWidth="1" min="4" max="20" width="5.13"/>
    <col customWidth="1" min="21" max="21" width="5.63"/>
  </cols>
  <sheetData>
    <row r="1">
      <c r="J1" s="9" t="s">
        <v>9</v>
      </c>
    </row>
    <row r="2">
      <c r="B2" s="10" t="s">
        <v>5</v>
      </c>
      <c r="C2" s="10" t="s">
        <v>7</v>
      </c>
      <c r="D2" s="14" t="s">
        <v>14</v>
      </c>
      <c r="E2" s="14" t="s">
        <v>19</v>
      </c>
      <c r="F2" s="14" t="s">
        <v>22</v>
      </c>
      <c r="G2" s="14" t="s">
        <v>25</v>
      </c>
      <c r="H2" s="17"/>
      <c r="I2" s="19">
        <v>46119.0</v>
      </c>
      <c r="J2" s="19">
        <v>46272.0</v>
      </c>
      <c r="K2" s="19">
        <v>46333.0</v>
      </c>
      <c r="L2" s="17"/>
      <c r="M2" s="17"/>
      <c r="N2" s="17"/>
      <c r="O2" s="17"/>
      <c r="P2" s="17"/>
      <c r="Q2" s="17"/>
      <c r="R2" s="17"/>
      <c r="S2" s="17"/>
      <c r="T2" s="17"/>
      <c r="U2" s="5"/>
      <c r="V2" s="5" t="s">
        <v>40</v>
      </c>
    </row>
    <row r="3">
      <c r="B3" s="25">
        <v>2.2201539E7</v>
      </c>
      <c r="C3" s="27" t="s">
        <v>42</v>
      </c>
      <c r="D3" s="25" t="s">
        <v>44</v>
      </c>
      <c r="E3" s="25" t="s">
        <v>44</v>
      </c>
      <c r="F3" s="25">
        <v>1.0</v>
      </c>
      <c r="G3" s="25">
        <v>1.0</v>
      </c>
      <c r="H3" s="25">
        <v>1.0</v>
      </c>
      <c r="I3" s="25" t="s">
        <v>44</v>
      </c>
      <c r="J3" s="25" t="s">
        <v>44</v>
      </c>
      <c r="K3" s="25">
        <v>1.0</v>
      </c>
      <c r="L3" s="25" t="s">
        <v>44</v>
      </c>
      <c r="M3" s="25" t="s">
        <v>44</v>
      </c>
      <c r="N3" s="31"/>
      <c r="O3" s="25" t="s">
        <v>44</v>
      </c>
      <c r="P3" s="25" t="s">
        <v>44</v>
      </c>
      <c r="Q3" s="25">
        <v>1.0</v>
      </c>
      <c r="R3" s="25">
        <v>1.0</v>
      </c>
      <c r="S3" s="31"/>
      <c r="T3" s="25" t="s">
        <v>44</v>
      </c>
      <c r="U3" s="27" t="s">
        <v>44</v>
      </c>
      <c r="V3" s="58">
        <f t="shared" ref="V3:V41" si="1">COUNTIF(D3:U3,"A")</f>
        <v>10</v>
      </c>
    </row>
    <row r="4">
      <c r="B4" s="25">
        <v>2.2241014E7</v>
      </c>
      <c r="C4" s="27" t="s">
        <v>86</v>
      </c>
      <c r="D4" s="25" t="s">
        <v>44</v>
      </c>
      <c r="E4" s="25">
        <v>1.0</v>
      </c>
      <c r="F4" s="60">
        <v>1.0</v>
      </c>
      <c r="G4" s="60">
        <v>1.0</v>
      </c>
      <c r="H4" s="25" t="s">
        <v>44</v>
      </c>
      <c r="I4" s="25">
        <v>1.0</v>
      </c>
      <c r="J4" s="25" t="s">
        <v>44</v>
      </c>
      <c r="K4" s="25" t="s">
        <v>44</v>
      </c>
      <c r="L4" s="60">
        <v>1.0</v>
      </c>
      <c r="M4" s="25">
        <v>1.0</v>
      </c>
      <c r="N4" s="31"/>
      <c r="O4" s="25" t="s">
        <v>44</v>
      </c>
      <c r="P4" s="25" t="s">
        <v>44</v>
      </c>
      <c r="Q4" s="25" t="s">
        <v>44</v>
      </c>
      <c r="R4" s="25" t="s">
        <v>44</v>
      </c>
      <c r="S4" s="31"/>
      <c r="T4" s="25" t="s">
        <v>44</v>
      </c>
      <c r="U4" s="27" t="s">
        <v>44</v>
      </c>
      <c r="V4" s="58">
        <f t="shared" si="1"/>
        <v>10</v>
      </c>
      <c r="X4" s="61" t="s">
        <v>119</v>
      </c>
    </row>
    <row r="5">
      <c r="A5" s="9" t="s">
        <v>120</v>
      </c>
      <c r="B5" s="25">
        <v>2.2299163E7</v>
      </c>
      <c r="C5" s="27" t="s">
        <v>97</v>
      </c>
      <c r="D5" s="25" t="s">
        <v>44</v>
      </c>
      <c r="E5" s="25" t="s">
        <v>44</v>
      </c>
      <c r="F5" s="25" t="s">
        <v>44</v>
      </c>
      <c r="G5" s="25" t="s">
        <v>44</v>
      </c>
      <c r="H5" s="25" t="s">
        <v>44</v>
      </c>
      <c r="I5" s="25" t="s">
        <v>44</v>
      </c>
      <c r="J5" s="25" t="s">
        <v>44</v>
      </c>
      <c r="K5" s="25">
        <v>1.0</v>
      </c>
      <c r="L5" s="25">
        <v>1.0</v>
      </c>
      <c r="M5" s="25" t="s">
        <v>44</v>
      </c>
      <c r="N5" s="25">
        <v>1.0</v>
      </c>
      <c r="O5" s="25" t="s">
        <v>44</v>
      </c>
      <c r="P5" s="25" t="s">
        <v>44</v>
      </c>
      <c r="Q5" s="25" t="s">
        <v>44</v>
      </c>
      <c r="R5" s="25" t="s">
        <v>44</v>
      </c>
      <c r="S5" s="31"/>
      <c r="T5" s="25" t="s">
        <v>44</v>
      </c>
      <c r="U5" s="27" t="s">
        <v>44</v>
      </c>
      <c r="V5" s="58">
        <f t="shared" si="1"/>
        <v>14</v>
      </c>
    </row>
    <row r="6">
      <c r="B6" s="25">
        <v>2.3101399E7</v>
      </c>
      <c r="C6" s="27" t="s">
        <v>101</v>
      </c>
      <c r="D6" s="25" t="s">
        <v>44</v>
      </c>
      <c r="E6" s="25">
        <v>1.0</v>
      </c>
      <c r="F6" s="25" t="s">
        <v>44</v>
      </c>
      <c r="G6" s="60">
        <v>1.0</v>
      </c>
      <c r="H6" s="25" t="s">
        <v>44</v>
      </c>
      <c r="I6" s="60">
        <v>1.0</v>
      </c>
      <c r="J6" s="25">
        <v>1.0</v>
      </c>
      <c r="K6" s="25" t="s">
        <v>44</v>
      </c>
      <c r="L6" s="25" t="s">
        <v>44</v>
      </c>
      <c r="M6" s="25" t="s">
        <v>44</v>
      </c>
      <c r="N6" s="31"/>
      <c r="O6" s="25" t="s">
        <v>44</v>
      </c>
      <c r="P6" s="25" t="s">
        <v>44</v>
      </c>
      <c r="Q6" s="60">
        <v>1.0</v>
      </c>
      <c r="R6" s="60">
        <v>1.0</v>
      </c>
      <c r="S6" s="31"/>
      <c r="T6" s="25" t="s">
        <v>44</v>
      </c>
      <c r="U6" s="27" t="s">
        <v>44</v>
      </c>
      <c r="V6" s="58">
        <f t="shared" si="1"/>
        <v>10</v>
      </c>
    </row>
    <row r="7">
      <c r="B7" s="25">
        <v>2.3201132E7</v>
      </c>
      <c r="C7" s="62" t="s">
        <v>102</v>
      </c>
      <c r="D7" s="25" t="s">
        <v>44</v>
      </c>
      <c r="E7" s="25">
        <v>1.0</v>
      </c>
      <c r="F7" s="25" t="s">
        <v>44</v>
      </c>
      <c r="G7" s="25" t="s">
        <v>44</v>
      </c>
      <c r="H7" s="25" t="s">
        <v>44</v>
      </c>
      <c r="I7" s="60">
        <v>1.0</v>
      </c>
      <c r="J7" s="25">
        <v>1.0</v>
      </c>
      <c r="K7" s="25" t="s">
        <v>44</v>
      </c>
      <c r="L7" s="60">
        <v>1.0</v>
      </c>
      <c r="M7" s="25" t="s">
        <v>44</v>
      </c>
      <c r="N7" s="31"/>
      <c r="O7" s="25" t="s">
        <v>44</v>
      </c>
      <c r="P7" s="25">
        <v>1.0</v>
      </c>
      <c r="Q7" s="60">
        <v>1.0</v>
      </c>
      <c r="R7" s="25" t="s">
        <v>44</v>
      </c>
      <c r="S7" s="25">
        <v>1.0</v>
      </c>
      <c r="T7" s="25" t="s">
        <v>44</v>
      </c>
      <c r="U7" s="27">
        <v>1.0</v>
      </c>
      <c r="V7" s="58">
        <f t="shared" si="1"/>
        <v>9</v>
      </c>
    </row>
    <row r="8">
      <c r="B8" s="25">
        <v>2.3201622E7</v>
      </c>
      <c r="C8" s="27" t="s">
        <v>103</v>
      </c>
      <c r="D8" s="25">
        <v>1.0</v>
      </c>
      <c r="E8" s="25">
        <v>1.0</v>
      </c>
      <c r="F8" s="25">
        <v>1.0</v>
      </c>
      <c r="G8" s="25">
        <v>1.0</v>
      </c>
      <c r="H8" s="60">
        <v>1.0</v>
      </c>
      <c r="I8" s="25" t="s">
        <v>44</v>
      </c>
      <c r="J8" s="25">
        <v>1.0</v>
      </c>
      <c r="K8" s="25">
        <v>1.0</v>
      </c>
      <c r="L8" s="25" t="s">
        <v>44</v>
      </c>
      <c r="M8" s="25" t="s">
        <v>44</v>
      </c>
      <c r="N8" s="31"/>
      <c r="O8" s="25">
        <v>1.0</v>
      </c>
      <c r="P8" s="25">
        <v>1.0</v>
      </c>
      <c r="Q8" s="25">
        <v>1.0</v>
      </c>
      <c r="R8" s="60">
        <v>1.0</v>
      </c>
      <c r="S8" s="31"/>
      <c r="T8" s="25">
        <v>1.0</v>
      </c>
      <c r="U8" s="27" t="s">
        <v>44</v>
      </c>
      <c r="V8" s="58">
        <f t="shared" si="1"/>
        <v>4</v>
      </c>
    </row>
    <row r="9">
      <c r="B9" s="25">
        <v>2.4101084E7</v>
      </c>
      <c r="C9" s="27" t="s">
        <v>104</v>
      </c>
      <c r="D9" s="25">
        <v>1.0</v>
      </c>
      <c r="E9" s="25">
        <v>1.0</v>
      </c>
      <c r="F9" s="25">
        <v>1.0</v>
      </c>
      <c r="G9" s="25" t="s">
        <v>44</v>
      </c>
      <c r="H9" s="25" t="s">
        <v>44</v>
      </c>
      <c r="I9" s="25">
        <v>1.0</v>
      </c>
      <c r="J9" s="25">
        <v>1.0</v>
      </c>
      <c r="K9" s="25" t="s">
        <v>44</v>
      </c>
      <c r="L9" s="60">
        <v>1.0</v>
      </c>
      <c r="M9" s="25" t="s">
        <v>44</v>
      </c>
      <c r="N9" s="31"/>
      <c r="O9" s="60">
        <v>1.0</v>
      </c>
      <c r="P9" s="25">
        <v>1.0</v>
      </c>
      <c r="Q9" s="25" t="s">
        <v>44</v>
      </c>
      <c r="R9" s="25" t="s">
        <v>44</v>
      </c>
      <c r="S9" s="25">
        <v>1.0</v>
      </c>
      <c r="T9" s="25" t="s">
        <v>44</v>
      </c>
      <c r="U9" s="60">
        <v>1.0</v>
      </c>
      <c r="V9" s="58">
        <f t="shared" si="1"/>
        <v>7</v>
      </c>
      <c r="W9" s="64"/>
      <c r="X9" s="64"/>
      <c r="Y9" s="64"/>
      <c r="Z9" s="64"/>
      <c r="AA9" s="64"/>
      <c r="AB9" s="64"/>
    </row>
    <row r="10">
      <c r="B10" s="25">
        <v>2.4101163E7</v>
      </c>
      <c r="C10" s="27" t="s">
        <v>105</v>
      </c>
      <c r="D10" s="25" t="s">
        <v>44</v>
      </c>
      <c r="E10" s="25" t="s">
        <v>44</v>
      </c>
      <c r="F10" s="25">
        <v>1.0</v>
      </c>
      <c r="G10" s="60">
        <v>1.0</v>
      </c>
      <c r="H10" s="25" t="s">
        <v>44</v>
      </c>
      <c r="I10" s="25" t="s">
        <v>44</v>
      </c>
      <c r="J10" s="25">
        <v>1.0</v>
      </c>
      <c r="K10" s="25" t="s">
        <v>44</v>
      </c>
      <c r="L10" s="25">
        <v>1.0</v>
      </c>
      <c r="M10" s="25">
        <v>1.0</v>
      </c>
      <c r="N10" s="31"/>
      <c r="O10" s="25">
        <v>1.0</v>
      </c>
      <c r="P10" s="25" t="s">
        <v>44</v>
      </c>
      <c r="Q10" s="25" t="s">
        <v>44</v>
      </c>
      <c r="R10" s="25" t="s">
        <v>44</v>
      </c>
      <c r="S10" s="25">
        <v>1.0</v>
      </c>
      <c r="T10" s="25" t="s">
        <v>44</v>
      </c>
      <c r="U10" s="27">
        <v>1.0</v>
      </c>
      <c r="V10" s="58">
        <f t="shared" si="1"/>
        <v>9</v>
      </c>
      <c r="W10" s="64"/>
      <c r="X10" s="64"/>
      <c r="Y10" s="64"/>
      <c r="Z10" s="64"/>
      <c r="AA10" s="64"/>
      <c r="AB10" s="64"/>
    </row>
    <row r="11">
      <c r="A11" s="9" t="s">
        <v>120</v>
      </c>
      <c r="B11" s="25">
        <v>2.4101223E7</v>
      </c>
      <c r="C11" s="27" t="s">
        <v>106</v>
      </c>
      <c r="D11" s="25" t="s">
        <v>44</v>
      </c>
      <c r="E11" s="25">
        <v>1.0</v>
      </c>
      <c r="F11" s="25" t="s">
        <v>44</v>
      </c>
      <c r="G11" s="60">
        <v>1.0</v>
      </c>
      <c r="H11" s="25" t="s">
        <v>44</v>
      </c>
      <c r="I11" s="60">
        <v>1.0</v>
      </c>
      <c r="J11" s="25" t="s">
        <v>44</v>
      </c>
      <c r="K11" s="60">
        <v>1.0</v>
      </c>
      <c r="L11" s="25" t="s">
        <v>44</v>
      </c>
      <c r="M11" s="25">
        <v>1.0</v>
      </c>
      <c r="N11" s="31"/>
      <c r="O11" s="60">
        <v>1.0</v>
      </c>
      <c r="P11" s="25" t="s">
        <v>44</v>
      </c>
      <c r="Q11" s="60">
        <v>1.0</v>
      </c>
      <c r="R11" s="60">
        <v>1.0</v>
      </c>
      <c r="S11" s="25"/>
      <c r="T11" s="25" t="s">
        <v>44</v>
      </c>
      <c r="U11" s="27" t="s">
        <v>44</v>
      </c>
      <c r="V11" s="58">
        <f t="shared" si="1"/>
        <v>8</v>
      </c>
      <c r="W11" s="64"/>
      <c r="X11" s="64"/>
      <c r="Y11" s="64"/>
      <c r="Z11" s="64"/>
      <c r="AA11" s="64"/>
      <c r="AB11" s="64"/>
    </row>
    <row r="12">
      <c r="B12" s="25">
        <v>2.4101234E7</v>
      </c>
      <c r="C12" s="27" t="s">
        <v>107</v>
      </c>
      <c r="D12" s="25">
        <v>1.0</v>
      </c>
      <c r="E12" s="25">
        <v>1.0</v>
      </c>
      <c r="F12" s="25" t="s">
        <v>44</v>
      </c>
      <c r="G12" s="25">
        <v>1.0</v>
      </c>
      <c r="H12" s="25" t="s">
        <v>44</v>
      </c>
      <c r="I12" s="25" t="s">
        <v>44</v>
      </c>
      <c r="J12" s="25">
        <v>1.0</v>
      </c>
      <c r="K12" s="25">
        <v>1.0</v>
      </c>
      <c r="L12" s="25">
        <v>1.0</v>
      </c>
      <c r="M12" s="25" t="s">
        <v>44</v>
      </c>
      <c r="N12" s="25">
        <v>1.0</v>
      </c>
      <c r="O12" s="25">
        <v>1.0</v>
      </c>
      <c r="P12" s="25">
        <v>1.0</v>
      </c>
      <c r="Q12" s="25">
        <v>1.0</v>
      </c>
      <c r="R12" s="25" t="s">
        <v>44</v>
      </c>
      <c r="S12" s="25">
        <v>1.0</v>
      </c>
      <c r="T12" s="25" t="s">
        <v>44</v>
      </c>
      <c r="U12" s="27">
        <v>1.0</v>
      </c>
      <c r="V12" s="58">
        <f t="shared" si="1"/>
        <v>6</v>
      </c>
      <c r="W12" s="64"/>
      <c r="X12" s="64"/>
      <c r="Y12" s="64"/>
      <c r="Z12" s="64"/>
      <c r="AA12" s="64"/>
      <c r="AB12" s="64"/>
    </row>
    <row r="13">
      <c r="B13" s="25">
        <v>2.4101266E7</v>
      </c>
      <c r="C13" s="27" t="s">
        <v>108</v>
      </c>
      <c r="D13" s="25">
        <v>1.0</v>
      </c>
      <c r="E13" s="25" t="s">
        <v>44</v>
      </c>
      <c r="F13" s="25">
        <v>1.0</v>
      </c>
      <c r="G13" s="25" t="s">
        <v>44</v>
      </c>
      <c r="H13" s="25">
        <v>1.0</v>
      </c>
      <c r="I13" s="25" t="s">
        <v>44</v>
      </c>
      <c r="J13" s="60">
        <v>1.0</v>
      </c>
      <c r="K13" s="25">
        <v>1.0</v>
      </c>
      <c r="L13" s="60">
        <v>1.0</v>
      </c>
      <c r="M13" s="25" t="s">
        <v>44</v>
      </c>
      <c r="N13" s="31"/>
      <c r="O13" s="25">
        <v>1.0</v>
      </c>
      <c r="P13" s="25" t="s">
        <v>44</v>
      </c>
      <c r="Q13" s="60">
        <v>1.0</v>
      </c>
      <c r="R13" s="25" t="s">
        <v>44</v>
      </c>
      <c r="S13" s="31"/>
      <c r="T13" s="25" t="s">
        <v>44</v>
      </c>
      <c r="U13" s="27" t="s">
        <v>44</v>
      </c>
      <c r="V13" s="58">
        <f t="shared" si="1"/>
        <v>8</v>
      </c>
      <c r="W13" s="64"/>
      <c r="X13" s="64"/>
      <c r="Y13" s="64"/>
      <c r="Z13" s="64"/>
      <c r="AA13" s="64"/>
      <c r="AB13" s="64"/>
    </row>
    <row r="14">
      <c r="B14" s="25">
        <v>2.4101278E7</v>
      </c>
      <c r="C14" s="27" t="s">
        <v>109</v>
      </c>
      <c r="D14" s="25">
        <v>1.0</v>
      </c>
      <c r="E14" s="25">
        <v>1.0</v>
      </c>
      <c r="F14" s="25">
        <v>1.0</v>
      </c>
      <c r="G14" s="25">
        <v>1.0</v>
      </c>
      <c r="H14" s="25">
        <v>1.0</v>
      </c>
      <c r="I14" s="25">
        <v>1.0</v>
      </c>
      <c r="J14" s="60">
        <v>1.0</v>
      </c>
      <c r="K14" s="25" t="s">
        <v>44</v>
      </c>
      <c r="L14" s="60">
        <v>1.0</v>
      </c>
      <c r="M14" s="25" t="s">
        <v>44</v>
      </c>
      <c r="N14" s="31"/>
      <c r="O14" s="25">
        <v>1.0</v>
      </c>
      <c r="P14" s="25">
        <v>1.0</v>
      </c>
      <c r="Q14" s="60">
        <v>1.0</v>
      </c>
      <c r="R14" s="60">
        <v>1.0</v>
      </c>
      <c r="S14" s="25">
        <v>1.0</v>
      </c>
      <c r="T14" s="25">
        <v>1.0</v>
      </c>
      <c r="U14" s="27" t="s">
        <v>44</v>
      </c>
      <c r="V14" s="58">
        <f t="shared" si="1"/>
        <v>3</v>
      </c>
      <c r="W14" s="64"/>
      <c r="X14" s="64"/>
      <c r="Y14" s="64"/>
      <c r="Z14" s="64"/>
      <c r="AA14" s="64"/>
      <c r="AB14" s="64"/>
    </row>
    <row r="15">
      <c r="B15" s="25">
        <v>2.410152E7</v>
      </c>
      <c r="C15" s="27" t="s">
        <v>110</v>
      </c>
      <c r="D15" s="25">
        <v>1.0</v>
      </c>
      <c r="E15" s="25">
        <v>1.0</v>
      </c>
      <c r="F15" s="25" t="s">
        <v>44</v>
      </c>
      <c r="G15" s="25">
        <v>1.0</v>
      </c>
      <c r="H15" s="25" t="s">
        <v>44</v>
      </c>
      <c r="I15" s="25">
        <v>1.0</v>
      </c>
      <c r="J15" s="25">
        <v>1.0</v>
      </c>
      <c r="K15" s="25">
        <v>1.0</v>
      </c>
      <c r="L15" s="25" t="s">
        <v>44</v>
      </c>
      <c r="M15" s="25">
        <v>1.0</v>
      </c>
      <c r="N15" s="31"/>
      <c r="O15" s="25">
        <v>1.0</v>
      </c>
      <c r="P15" s="25" t="s">
        <v>44</v>
      </c>
      <c r="Q15" s="25">
        <v>1.0</v>
      </c>
      <c r="R15" s="25" t="s">
        <v>44</v>
      </c>
      <c r="S15" s="25">
        <v>1.0</v>
      </c>
      <c r="T15" s="25">
        <v>1.0</v>
      </c>
      <c r="U15" s="27">
        <v>1.0</v>
      </c>
      <c r="V15" s="58">
        <f t="shared" si="1"/>
        <v>5</v>
      </c>
      <c r="W15" s="64"/>
      <c r="X15" s="64"/>
      <c r="Y15" s="64"/>
      <c r="Z15" s="64"/>
      <c r="AA15" s="64"/>
      <c r="AB15" s="64"/>
    </row>
    <row r="16">
      <c r="B16" s="25">
        <v>2.4101634E7</v>
      </c>
      <c r="C16" s="27" t="s">
        <v>111</v>
      </c>
      <c r="D16" s="25" t="s">
        <v>44</v>
      </c>
      <c r="E16" s="25" t="s">
        <v>44</v>
      </c>
      <c r="F16" s="25" t="s">
        <v>44</v>
      </c>
      <c r="G16" s="25" t="s">
        <v>44</v>
      </c>
      <c r="H16" s="60">
        <v>1.0</v>
      </c>
      <c r="I16" s="25">
        <v>1.0</v>
      </c>
      <c r="J16" s="25" t="s">
        <v>44</v>
      </c>
      <c r="K16" s="60">
        <v>1.0</v>
      </c>
      <c r="L16" s="25" t="s">
        <v>44</v>
      </c>
      <c r="M16" s="25">
        <v>1.0</v>
      </c>
      <c r="N16" s="25">
        <v>1.0</v>
      </c>
      <c r="O16" s="25" t="s">
        <v>44</v>
      </c>
      <c r="P16" s="25" t="s">
        <v>44</v>
      </c>
      <c r="Q16" s="25" t="s">
        <v>44</v>
      </c>
      <c r="R16" s="25" t="s">
        <v>44</v>
      </c>
      <c r="S16" s="31"/>
      <c r="T16" s="25">
        <v>1.0</v>
      </c>
      <c r="U16" s="27">
        <v>1.0</v>
      </c>
      <c r="V16" s="58">
        <f t="shared" si="1"/>
        <v>10</v>
      </c>
      <c r="W16" s="64"/>
      <c r="X16" s="64"/>
      <c r="Y16" s="64"/>
      <c r="Z16" s="64"/>
      <c r="AA16" s="64"/>
      <c r="AB16" s="64"/>
    </row>
    <row r="17">
      <c r="B17" s="25">
        <v>2.4141002E7</v>
      </c>
      <c r="C17" s="27" t="s">
        <v>112</v>
      </c>
      <c r="D17" s="25">
        <v>1.0</v>
      </c>
      <c r="E17" s="25">
        <v>1.0</v>
      </c>
      <c r="F17" s="25">
        <v>1.0</v>
      </c>
      <c r="G17" s="25" t="s">
        <v>44</v>
      </c>
      <c r="H17" s="25">
        <v>1.0</v>
      </c>
      <c r="I17" s="25">
        <v>1.0</v>
      </c>
      <c r="J17" s="25">
        <v>1.0</v>
      </c>
      <c r="K17" s="25">
        <v>1.0</v>
      </c>
      <c r="L17" s="25">
        <v>1.0</v>
      </c>
      <c r="M17" s="25">
        <v>1.0</v>
      </c>
      <c r="N17" s="25">
        <v>1.0</v>
      </c>
      <c r="O17" s="25">
        <v>1.0</v>
      </c>
      <c r="P17" s="25" t="s">
        <v>44</v>
      </c>
      <c r="Q17" s="25">
        <v>1.0</v>
      </c>
      <c r="R17" s="25">
        <v>1.0</v>
      </c>
      <c r="S17" s="31"/>
      <c r="T17" s="25">
        <v>1.0</v>
      </c>
      <c r="U17" s="27" t="s">
        <v>44</v>
      </c>
      <c r="V17" s="58">
        <f t="shared" si="1"/>
        <v>3</v>
      </c>
      <c r="W17" s="64"/>
      <c r="X17" s="64"/>
      <c r="Y17" s="64"/>
      <c r="Z17" s="64"/>
      <c r="AA17" s="64"/>
      <c r="AB17" s="64"/>
    </row>
    <row r="18">
      <c r="B18" s="25">
        <v>2.4201015E7</v>
      </c>
      <c r="C18" s="27" t="s">
        <v>113</v>
      </c>
      <c r="D18" s="25">
        <v>1.0</v>
      </c>
      <c r="E18" s="25">
        <v>1.0</v>
      </c>
      <c r="F18" s="25">
        <v>1.0</v>
      </c>
      <c r="G18" s="25">
        <v>1.0</v>
      </c>
      <c r="H18" s="60">
        <v>1.0</v>
      </c>
      <c r="I18" s="60">
        <v>1.0</v>
      </c>
      <c r="J18" s="25">
        <v>1.0</v>
      </c>
      <c r="K18" s="60">
        <v>1.0</v>
      </c>
      <c r="L18" s="25" t="s">
        <v>44</v>
      </c>
      <c r="M18" s="25">
        <v>1.0</v>
      </c>
      <c r="N18" s="25">
        <v>1.0</v>
      </c>
      <c r="O18" s="25" t="s">
        <v>44</v>
      </c>
      <c r="P18" s="25">
        <v>1.0</v>
      </c>
      <c r="Q18" s="25" t="s">
        <v>44</v>
      </c>
      <c r="R18" s="25">
        <v>1.0</v>
      </c>
      <c r="S18" s="31"/>
      <c r="T18" s="25" t="s">
        <v>44</v>
      </c>
      <c r="U18" s="27">
        <v>1.0</v>
      </c>
      <c r="V18" s="58">
        <f t="shared" si="1"/>
        <v>4</v>
      </c>
      <c r="W18" s="64"/>
      <c r="X18" s="64"/>
      <c r="Y18" s="64"/>
      <c r="Z18" s="64"/>
      <c r="AA18" s="64"/>
      <c r="AB18" s="64"/>
    </row>
    <row r="19">
      <c r="B19" s="25">
        <v>2.4201019E7</v>
      </c>
      <c r="C19" s="27" t="s">
        <v>114</v>
      </c>
      <c r="D19" s="25">
        <v>1.0</v>
      </c>
      <c r="E19" s="25">
        <v>1.0</v>
      </c>
      <c r="F19" s="25">
        <v>1.0</v>
      </c>
      <c r="G19" s="25">
        <v>1.0</v>
      </c>
      <c r="H19" s="25">
        <v>1.0</v>
      </c>
      <c r="I19" s="25">
        <v>1.0</v>
      </c>
      <c r="J19" s="25">
        <v>1.0</v>
      </c>
      <c r="K19" s="25">
        <v>1.0</v>
      </c>
      <c r="L19" s="25">
        <v>1.0</v>
      </c>
      <c r="M19" s="25">
        <v>1.0</v>
      </c>
      <c r="N19" s="25"/>
      <c r="O19" s="25">
        <v>1.0</v>
      </c>
      <c r="P19" s="25">
        <v>1.0</v>
      </c>
      <c r="Q19" s="25">
        <v>1.0</v>
      </c>
      <c r="R19" s="25">
        <v>1.0</v>
      </c>
      <c r="S19" s="25">
        <v>1.0</v>
      </c>
      <c r="T19" s="25" t="s">
        <v>44</v>
      </c>
      <c r="U19" s="27">
        <v>1.0</v>
      </c>
      <c r="V19" s="58">
        <f t="shared" si="1"/>
        <v>1</v>
      </c>
      <c r="W19" s="64"/>
      <c r="X19" s="64"/>
      <c r="Y19" s="64"/>
      <c r="Z19" s="64"/>
      <c r="AA19" s="64"/>
      <c r="AB19" s="64"/>
    </row>
    <row r="20">
      <c r="B20" s="25">
        <v>2.4201027E7</v>
      </c>
      <c r="C20" s="27" t="s">
        <v>115</v>
      </c>
      <c r="D20" s="25" t="s">
        <v>44</v>
      </c>
      <c r="E20" s="25" t="s">
        <v>44</v>
      </c>
      <c r="F20" s="25">
        <v>1.0</v>
      </c>
      <c r="G20" s="25">
        <v>1.0</v>
      </c>
      <c r="H20" s="25" t="s">
        <v>44</v>
      </c>
      <c r="I20" s="25" t="s">
        <v>44</v>
      </c>
      <c r="J20" s="25">
        <v>1.0</v>
      </c>
      <c r="K20" s="25" t="s">
        <v>44</v>
      </c>
      <c r="L20" s="25" t="s">
        <v>44</v>
      </c>
      <c r="M20" s="25">
        <v>1.0</v>
      </c>
      <c r="N20" s="31"/>
      <c r="O20" s="25" t="s">
        <v>44</v>
      </c>
      <c r="P20" s="25" t="s">
        <v>44</v>
      </c>
      <c r="Q20" s="25" t="s">
        <v>44</v>
      </c>
      <c r="R20" s="25" t="s">
        <v>44</v>
      </c>
      <c r="S20" s="31"/>
      <c r="T20" s="25" t="s">
        <v>44</v>
      </c>
      <c r="U20" s="27" t="s">
        <v>44</v>
      </c>
      <c r="V20" s="58">
        <f t="shared" si="1"/>
        <v>12</v>
      </c>
      <c r="W20" s="64"/>
      <c r="X20" s="64"/>
      <c r="Y20" s="64"/>
      <c r="Z20" s="64"/>
      <c r="AA20" s="64"/>
      <c r="AB20" s="64"/>
    </row>
    <row r="21">
      <c r="B21" s="25">
        <v>2.4201172E7</v>
      </c>
      <c r="C21" s="27" t="s">
        <v>116</v>
      </c>
      <c r="D21" s="25">
        <v>1.0</v>
      </c>
      <c r="E21" s="25">
        <v>1.0</v>
      </c>
      <c r="F21" s="60">
        <v>1.0</v>
      </c>
      <c r="G21" s="60">
        <v>1.0</v>
      </c>
      <c r="H21" s="60">
        <v>1.0</v>
      </c>
      <c r="I21" s="60">
        <v>1.0</v>
      </c>
      <c r="J21" s="25">
        <v>1.0</v>
      </c>
      <c r="K21" s="60">
        <v>1.0</v>
      </c>
      <c r="L21" s="60">
        <v>1.0</v>
      </c>
      <c r="M21" s="25">
        <v>1.0</v>
      </c>
      <c r="N21" s="31"/>
      <c r="O21" s="60">
        <v>1.0</v>
      </c>
      <c r="P21" s="25" t="s">
        <v>44</v>
      </c>
      <c r="Q21" s="60">
        <v>1.0</v>
      </c>
      <c r="R21" s="60">
        <v>1.0</v>
      </c>
      <c r="S21" s="31"/>
      <c r="T21" s="25">
        <v>1.0</v>
      </c>
      <c r="U21" s="60">
        <v>1.0</v>
      </c>
      <c r="V21" s="58">
        <f t="shared" si="1"/>
        <v>1</v>
      </c>
      <c r="W21" s="64"/>
      <c r="X21" s="64"/>
      <c r="Y21" s="64"/>
      <c r="Z21" s="64"/>
      <c r="AA21" s="64"/>
      <c r="AB21" s="64"/>
    </row>
    <row r="22">
      <c r="B22" s="25">
        <v>2.4201302E7</v>
      </c>
      <c r="C22" s="27" t="s">
        <v>118</v>
      </c>
      <c r="D22" s="25">
        <v>1.0</v>
      </c>
      <c r="E22" s="25">
        <v>1.0</v>
      </c>
      <c r="F22" s="25">
        <v>1.0</v>
      </c>
      <c r="G22" s="25">
        <v>1.0</v>
      </c>
      <c r="H22" s="25">
        <v>1.0</v>
      </c>
      <c r="I22" s="25">
        <v>1.0</v>
      </c>
      <c r="J22" s="25">
        <v>1.0</v>
      </c>
      <c r="K22" s="60">
        <v>1.0</v>
      </c>
      <c r="L22" s="60">
        <v>1.0</v>
      </c>
      <c r="M22" s="25">
        <v>1.0</v>
      </c>
      <c r="N22" s="31"/>
      <c r="O22" s="60">
        <v>1.0</v>
      </c>
      <c r="P22" s="25">
        <v>1.0</v>
      </c>
      <c r="Q22" s="60">
        <v>1.0</v>
      </c>
      <c r="R22" s="25">
        <v>1.0</v>
      </c>
      <c r="S22" s="31"/>
      <c r="T22" s="25">
        <v>1.0</v>
      </c>
      <c r="U22" s="60">
        <v>1.0</v>
      </c>
      <c r="V22" s="58">
        <f t="shared" si="1"/>
        <v>0</v>
      </c>
      <c r="W22" s="64"/>
      <c r="X22" s="64"/>
      <c r="Y22" s="64"/>
      <c r="Z22" s="64"/>
      <c r="AA22" s="64"/>
      <c r="AB22" s="64"/>
    </row>
    <row r="23">
      <c r="B23" s="25">
        <v>2.4201308E7</v>
      </c>
      <c r="C23" s="27" t="s">
        <v>121</v>
      </c>
      <c r="D23" s="25">
        <v>1.0</v>
      </c>
      <c r="E23" s="25">
        <v>1.0</v>
      </c>
      <c r="F23" s="25">
        <v>1.0</v>
      </c>
      <c r="G23" s="25">
        <v>1.0</v>
      </c>
      <c r="H23" s="25">
        <v>1.0</v>
      </c>
      <c r="I23" s="25">
        <v>1.0</v>
      </c>
      <c r="J23" s="25">
        <v>1.0</v>
      </c>
      <c r="K23" s="25">
        <v>1.0</v>
      </c>
      <c r="L23" s="25">
        <v>1.0</v>
      </c>
      <c r="M23" s="25">
        <v>1.0</v>
      </c>
      <c r="N23" s="31"/>
      <c r="O23" s="25">
        <v>1.0</v>
      </c>
      <c r="P23" s="25">
        <v>1.0</v>
      </c>
      <c r="Q23" s="25">
        <v>1.0</v>
      </c>
      <c r="R23" s="25">
        <v>1.0</v>
      </c>
      <c r="S23" s="31"/>
      <c r="T23" s="25">
        <v>1.0</v>
      </c>
      <c r="U23" s="60">
        <v>1.0</v>
      </c>
      <c r="V23" s="58">
        <f t="shared" si="1"/>
        <v>0</v>
      </c>
      <c r="W23" s="64"/>
      <c r="X23" s="64"/>
      <c r="Y23" s="64"/>
      <c r="Z23" s="64"/>
      <c r="AA23" s="64"/>
      <c r="AB23" s="64"/>
    </row>
    <row r="24">
      <c r="B24" s="25">
        <v>2.4201334E7</v>
      </c>
      <c r="C24" s="27" t="s">
        <v>122</v>
      </c>
      <c r="D24" s="25" t="s">
        <v>44</v>
      </c>
      <c r="E24" s="25">
        <v>1.0</v>
      </c>
      <c r="F24" s="25">
        <v>1.0</v>
      </c>
      <c r="G24" s="25">
        <v>1.0</v>
      </c>
      <c r="H24" s="25">
        <v>1.0</v>
      </c>
      <c r="I24" s="25">
        <v>1.0</v>
      </c>
      <c r="J24" s="25">
        <v>1.0</v>
      </c>
      <c r="K24" s="25">
        <v>1.0</v>
      </c>
      <c r="L24" s="25">
        <v>1.0</v>
      </c>
      <c r="M24" s="25">
        <v>1.0</v>
      </c>
      <c r="N24" s="25">
        <v>1.0</v>
      </c>
      <c r="O24" s="25">
        <v>1.0</v>
      </c>
      <c r="P24" s="25" t="s">
        <v>44</v>
      </c>
      <c r="Q24" s="25" t="s">
        <v>44</v>
      </c>
      <c r="R24" s="25" t="s">
        <v>44</v>
      </c>
      <c r="S24" s="25">
        <v>1.0</v>
      </c>
      <c r="T24" s="25" t="s">
        <v>44</v>
      </c>
      <c r="U24" s="27" t="s">
        <v>44</v>
      </c>
      <c r="V24" s="58">
        <f t="shared" si="1"/>
        <v>6</v>
      </c>
      <c r="W24" s="64"/>
      <c r="X24" s="64"/>
      <c r="Y24" s="64"/>
      <c r="Z24" s="64"/>
      <c r="AA24" s="64"/>
      <c r="AB24" s="64"/>
    </row>
    <row r="25">
      <c r="B25" s="25">
        <v>2.4201361E7</v>
      </c>
      <c r="C25" s="27" t="s">
        <v>123</v>
      </c>
      <c r="D25" s="25">
        <v>1.0</v>
      </c>
      <c r="E25" s="25">
        <v>1.0</v>
      </c>
      <c r="F25" s="25">
        <v>1.0</v>
      </c>
      <c r="G25" s="60">
        <v>1.0</v>
      </c>
      <c r="H25" s="25">
        <v>1.0</v>
      </c>
      <c r="I25" s="60">
        <v>1.0</v>
      </c>
      <c r="J25" s="25">
        <v>1.0</v>
      </c>
      <c r="K25" s="25">
        <v>1.0</v>
      </c>
      <c r="L25" s="25">
        <v>1.0</v>
      </c>
      <c r="M25" s="25">
        <v>1.0</v>
      </c>
      <c r="N25" s="31"/>
      <c r="O25" s="25" t="s">
        <v>44</v>
      </c>
      <c r="P25" s="60">
        <v>1.0</v>
      </c>
      <c r="Q25" s="25">
        <v>1.0</v>
      </c>
      <c r="R25" s="25" t="s">
        <v>44</v>
      </c>
      <c r="S25" s="25" t="s">
        <v>44</v>
      </c>
      <c r="T25" s="25">
        <v>1.0</v>
      </c>
      <c r="U25" s="27" t="s">
        <v>44</v>
      </c>
      <c r="V25" s="58">
        <f t="shared" si="1"/>
        <v>4</v>
      </c>
      <c r="W25" s="64"/>
      <c r="X25" s="64"/>
      <c r="Y25" s="64"/>
      <c r="Z25" s="64"/>
      <c r="AA25" s="64"/>
      <c r="AB25" s="64"/>
    </row>
    <row r="26">
      <c r="B26" s="25">
        <v>2.4201437E7</v>
      </c>
      <c r="C26" s="27" t="s">
        <v>124</v>
      </c>
      <c r="D26" s="25" t="s">
        <v>44</v>
      </c>
      <c r="E26" s="25">
        <v>1.0</v>
      </c>
      <c r="F26" s="25">
        <v>1.0</v>
      </c>
      <c r="G26" s="25">
        <v>1.0</v>
      </c>
      <c r="H26" s="25">
        <v>1.0</v>
      </c>
      <c r="I26" s="25">
        <v>1.0</v>
      </c>
      <c r="J26" s="25">
        <v>1.0</v>
      </c>
      <c r="K26" s="25" t="s">
        <v>44</v>
      </c>
      <c r="L26" s="25" t="s">
        <v>44</v>
      </c>
      <c r="M26" s="25">
        <v>1.0</v>
      </c>
      <c r="N26" s="25">
        <v>1.0</v>
      </c>
      <c r="O26" s="25">
        <v>1.0</v>
      </c>
      <c r="P26" s="25">
        <v>1.0</v>
      </c>
      <c r="Q26" s="25">
        <v>1.0</v>
      </c>
      <c r="R26" s="25">
        <v>1.0</v>
      </c>
      <c r="S26" s="25">
        <v>1.0</v>
      </c>
      <c r="T26" s="25">
        <v>1.0</v>
      </c>
      <c r="U26" s="27">
        <v>1.0</v>
      </c>
      <c r="V26" s="58">
        <f t="shared" si="1"/>
        <v>3</v>
      </c>
      <c r="W26" s="64"/>
      <c r="X26" s="64"/>
      <c r="Y26" s="64"/>
      <c r="Z26" s="64"/>
      <c r="AA26" s="64"/>
      <c r="AB26" s="64"/>
    </row>
    <row r="27">
      <c r="B27" s="25">
        <v>2.4201456E7</v>
      </c>
      <c r="C27" s="27" t="s">
        <v>125</v>
      </c>
      <c r="D27" s="25">
        <v>1.0</v>
      </c>
      <c r="E27" s="25">
        <v>1.0</v>
      </c>
      <c r="F27" s="25">
        <v>1.0</v>
      </c>
      <c r="G27" s="25">
        <v>1.0</v>
      </c>
      <c r="H27" s="25">
        <v>1.0</v>
      </c>
      <c r="I27" s="25" t="s">
        <v>44</v>
      </c>
      <c r="J27" s="25">
        <v>1.0</v>
      </c>
      <c r="K27" s="25" t="s">
        <v>44</v>
      </c>
      <c r="L27" s="25">
        <v>1.0</v>
      </c>
      <c r="M27" s="25" t="s">
        <v>44</v>
      </c>
      <c r="N27" s="31"/>
      <c r="O27" s="25">
        <v>1.0</v>
      </c>
      <c r="P27" s="25">
        <v>1.0</v>
      </c>
      <c r="Q27" s="25" t="s">
        <v>44</v>
      </c>
      <c r="R27" s="25">
        <v>1.0</v>
      </c>
      <c r="S27" s="25">
        <v>1.0</v>
      </c>
      <c r="T27" s="25" t="s">
        <v>44</v>
      </c>
      <c r="U27" s="27">
        <v>1.0</v>
      </c>
      <c r="V27" s="58">
        <f t="shared" si="1"/>
        <v>5</v>
      </c>
      <c r="W27" s="64"/>
      <c r="X27" s="64"/>
      <c r="Y27" s="64"/>
      <c r="Z27" s="64"/>
      <c r="AA27" s="64"/>
      <c r="AB27" s="64"/>
    </row>
    <row r="28">
      <c r="B28" s="25">
        <v>2.4301066E7</v>
      </c>
      <c r="C28" s="27" t="s">
        <v>126</v>
      </c>
      <c r="D28" s="25">
        <v>1.0</v>
      </c>
      <c r="E28" s="25">
        <v>1.0</v>
      </c>
      <c r="F28" s="25">
        <v>1.0</v>
      </c>
      <c r="G28" s="60">
        <v>1.0</v>
      </c>
      <c r="H28" s="25" t="s">
        <v>44</v>
      </c>
      <c r="I28" s="25">
        <v>1.0</v>
      </c>
      <c r="J28" s="25">
        <v>1.0</v>
      </c>
      <c r="K28" s="25">
        <v>1.0</v>
      </c>
      <c r="L28" s="25">
        <v>1.0</v>
      </c>
      <c r="M28" s="25">
        <v>1.0</v>
      </c>
      <c r="N28" s="31"/>
      <c r="O28" s="25" t="s">
        <v>44</v>
      </c>
      <c r="P28" s="25">
        <v>1.0</v>
      </c>
      <c r="Q28" s="25">
        <v>1.0</v>
      </c>
      <c r="R28" s="25">
        <v>1.0</v>
      </c>
      <c r="S28" s="25">
        <v>1.0</v>
      </c>
      <c r="T28" s="25" t="s">
        <v>44</v>
      </c>
      <c r="U28" s="27">
        <v>1.0</v>
      </c>
      <c r="V28" s="58">
        <f t="shared" si="1"/>
        <v>3</v>
      </c>
      <c r="W28" s="64"/>
      <c r="X28" s="64"/>
      <c r="Y28" s="64"/>
      <c r="Z28" s="64"/>
      <c r="AA28" s="64"/>
      <c r="AB28" s="64"/>
    </row>
    <row r="29">
      <c r="B29" s="25">
        <v>2.4301073E7</v>
      </c>
      <c r="C29" s="27" t="s">
        <v>127</v>
      </c>
      <c r="D29" s="25">
        <v>1.0</v>
      </c>
      <c r="E29" s="25" t="s">
        <v>44</v>
      </c>
      <c r="F29" s="25" t="s">
        <v>44</v>
      </c>
      <c r="G29" s="25" t="s">
        <v>44</v>
      </c>
      <c r="H29" s="60">
        <v>1.0</v>
      </c>
      <c r="I29" s="60">
        <v>1.0</v>
      </c>
      <c r="J29" s="60">
        <v>1.0</v>
      </c>
      <c r="K29" s="25" t="s">
        <v>44</v>
      </c>
      <c r="L29" s="25" t="s">
        <v>44</v>
      </c>
      <c r="M29" s="25" t="s">
        <v>44</v>
      </c>
      <c r="N29" s="31"/>
      <c r="O29" s="60">
        <v>1.0</v>
      </c>
      <c r="P29" s="60">
        <v>1.0</v>
      </c>
      <c r="Q29" s="25" t="s">
        <v>44</v>
      </c>
      <c r="R29" s="60">
        <v>1.0</v>
      </c>
      <c r="S29" s="25" t="s">
        <v>44</v>
      </c>
      <c r="T29" s="25">
        <v>1.0</v>
      </c>
      <c r="U29" s="27" t="s">
        <v>44</v>
      </c>
      <c r="V29" s="58">
        <f t="shared" si="1"/>
        <v>9</v>
      </c>
      <c r="W29" s="64"/>
      <c r="X29" s="64"/>
      <c r="Y29" s="64"/>
      <c r="Z29" s="64"/>
      <c r="AA29" s="64"/>
      <c r="AB29" s="64"/>
    </row>
    <row r="30">
      <c r="B30" s="25">
        <v>2.4301173E7</v>
      </c>
      <c r="C30" s="66" t="s">
        <v>128</v>
      </c>
      <c r="D30" s="25">
        <v>1.0</v>
      </c>
      <c r="E30" s="25">
        <v>1.0</v>
      </c>
      <c r="F30" s="25">
        <v>1.0</v>
      </c>
      <c r="G30" s="25">
        <v>1.0</v>
      </c>
      <c r="H30" s="25">
        <v>1.0</v>
      </c>
      <c r="I30" s="25" t="s">
        <v>44</v>
      </c>
      <c r="J30" s="25">
        <v>1.0</v>
      </c>
      <c r="K30" s="25">
        <v>1.0</v>
      </c>
      <c r="L30" s="25">
        <v>1.0</v>
      </c>
      <c r="M30" s="25">
        <v>1.0</v>
      </c>
      <c r="N30" s="25">
        <v>1.0</v>
      </c>
      <c r="O30" s="25">
        <v>1.0</v>
      </c>
      <c r="P30" s="25">
        <v>1.0</v>
      </c>
      <c r="Q30" s="25">
        <v>1.0</v>
      </c>
      <c r="R30" s="25">
        <v>1.0</v>
      </c>
      <c r="S30" s="25">
        <v>1.0</v>
      </c>
      <c r="T30" s="25">
        <v>1.0</v>
      </c>
      <c r="U30" s="27">
        <v>1.0</v>
      </c>
      <c r="V30" s="58">
        <f t="shared" si="1"/>
        <v>1</v>
      </c>
      <c r="W30" s="64"/>
      <c r="X30" s="64"/>
      <c r="Y30" s="64"/>
      <c r="Z30" s="64"/>
      <c r="AA30" s="64"/>
      <c r="AB30" s="64"/>
    </row>
    <row r="31">
      <c r="B31" s="25">
        <v>2.4301181E7</v>
      </c>
      <c r="C31" s="27" t="s">
        <v>129</v>
      </c>
      <c r="D31" s="25" t="s">
        <v>44</v>
      </c>
      <c r="E31" s="25">
        <v>1.0</v>
      </c>
      <c r="F31" s="25">
        <v>1.0</v>
      </c>
      <c r="G31" s="25">
        <v>1.0</v>
      </c>
      <c r="H31" s="25">
        <v>1.0</v>
      </c>
      <c r="I31" s="25" t="s">
        <v>44</v>
      </c>
      <c r="J31" s="25">
        <v>1.0</v>
      </c>
      <c r="K31" s="25">
        <v>1.0</v>
      </c>
      <c r="L31" s="25" t="s">
        <v>44</v>
      </c>
      <c r="M31" s="25">
        <v>1.0</v>
      </c>
      <c r="N31" s="25">
        <v>1.0</v>
      </c>
      <c r="O31" s="25">
        <v>1.0</v>
      </c>
      <c r="P31" s="25" t="s">
        <v>44</v>
      </c>
      <c r="Q31" s="25">
        <v>1.0</v>
      </c>
      <c r="R31" s="31"/>
      <c r="S31" s="25" t="s">
        <v>44</v>
      </c>
      <c r="T31" s="25">
        <v>1.0</v>
      </c>
      <c r="U31" s="27">
        <v>1.0</v>
      </c>
      <c r="V31" s="58">
        <f t="shared" si="1"/>
        <v>5</v>
      </c>
      <c r="W31" s="64"/>
      <c r="X31" s="64"/>
      <c r="Y31" s="64"/>
      <c r="Z31" s="64"/>
      <c r="AA31" s="64"/>
      <c r="AB31" s="64"/>
    </row>
    <row r="32">
      <c r="A32" s="9" t="s">
        <v>120</v>
      </c>
      <c r="B32" s="25">
        <v>2.4301244E7</v>
      </c>
      <c r="C32" s="27" t="s">
        <v>130</v>
      </c>
      <c r="D32" s="25">
        <v>1.0</v>
      </c>
      <c r="E32" s="25">
        <v>1.0</v>
      </c>
      <c r="F32" s="25">
        <v>1.0</v>
      </c>
      <c r="G32" s="25">
        <v>1.0</v>
      </c>
      <c r="H32" s="25">
        <v>1.0</v>
      </c>
      <c r="I32" s="25">
        <v>1.0</v>
      </c>
      <c r="J32" s="25">
        <v>1.0</v>
      </c>
      <c r="K32" s="25">
        <v>1.0</v>
      </c>
      <c r="L32" s="25">
        <v>1.0</v>
      </c>
      <c r="M32" s="25">
        <v>1.0</v>
      </c>
      <c r="N32" s="25">
        <v>1.0</v>
      </c>
      <c r="O32" s="25">
        <v>1.0</v>
      </c>
      <c r="P32" s="25">
        <v>1.0</v>
      </c>
      <c r="Q32" s="25">
        <v>1.0</v>
      </c>
      <c r="R32" s="25">
        <v>1.0</v>
      </c>
      <c r="S32" s="25">
        <v>1.0</v>
      </c>
      <c r="T32" s="25">
        <v>1.0</v>
      </c>
      <c r="U32" s="27" t="s">
        <v>44</v>
      </c>
      <c r="V32" s="58">
        <f t="shared" si="1"/>
        <v>1</v>
      </c>
      <c r="W32" s="64"/>
      <c r="X32" s="64"/>
      <c r="Y32" s="64"/>
      <c r="Z32" s="64"/>
      <c r="AA32" s="64"/>
      <c r="AB32" s="64"/>
    </row>
    <row r="33">
      <c r="B33" s="25">
        <v>2.4301305E7</v>
      </c>
      <c r="C33" s="27" t="s">
        <v>131</v>
      </c>
      <c r="D33" s="25">
        <v>1.0</v>
      </c>
      <c r="E33" s="25">
        <v>1.0</v>
      </c>
      <c r="F33" s="25">
        <v>1.0</v>
      </c>
      <c r="G33" s="60">
        <v>1.0</v>
      </c>
      <c r="H33" s="60">
        <v>1.0</v>
      </c>
      <c r="I33" s="60">
        <v>1.0</v>
      </c>
      <c r="J33" s="25">
        <v>1.0</v>
      </c>
      <c r="K33" s="60">
        <v>1.0</v>
      </c>
      <c r="L33" s="25">
        <v>1.0</v>
      </c>
      <c r="M33" s="25" t="s">
        <v>44</v>
      </c>
      <c r="N33" s="31"/>
      <c r="O33" s="60">
        <v>1.0</v>
      </c>
      <c r="P33" s="60">
        <v>1.0</v>
      </c>
      <c r="Q33" s="60">
        <v>1.0</v>
      </c>
      <c r="R33" s="60">
        <v>1.0</v>
      </c>
      <c r="S33" s="25" t="s">
        <v>44</v>
      </c>
      <c r="T33" s="25" t="s">
        <v>44</v>
      </c>
      <c r="U33" s="60">
        <v>1.0</v>
      </c>
      <c r="V33" s="58">
        <f t="shared" si="1"/>
        <v>3</v>
      </c>
      <c r="W33" s="64"/>
      <c r="X33" s="64"/>
      <c r="Y33" s="64"/>
      <c r="Z33" s="64"/>
      <c r="AA33" s="64"/>
      <c r="AB33" s="64"/>
    </row>
    <row r="34">
      <c r="B34" s="25">
        <v>2.4301372E7</v>
      </c>
      <c r="C34" s="27" t="s">
        <v>132</v>
      </c>
      <c r="D34" s="25">
        <v>1.0</v>
      </c>
      <c r="E34" s="25">
        <v>1.0</v>
      </c>
      <c r="F34" s="60">
        <v>1.0</v>
      </c>
      <c r="G34" s="60">
        <v>1.0</v>
      </c>
      <c r="H34" s="25">
        <v>1.0</v>
      </c>
      <c r="I34" s="60">
        <v>1.0</v>
      </c>
      <c r="J34" s="25">
        <v>1.0</v>
      </c>
      <c r="K34" s="25" t="s">
        <v>44</v>
      </c>
      <c r="L34" s="25" t="s">
        <v>44</v>
      </c>
      <c r="M34" s="25">
        <v>1.0</v>
      </c>
      <c r="N34" s="31"/>
      <c r="O34" s="25" t="s">
        <v>44</v>
      </c>
      <c r="P34" s="25">
        <v>1.0</v>
      </c>
      <c r="Q34" s="60">
        <v>1.0</v>
      </c>
      <c r="R34" s="25">
        <v>1.0</v>
      </c>
      <c r="S34" s="25" t="s">
        <v>44</v>
      </c>
      <c r="T34" s="25" t="s">
        <v>44</v>
      </c>
      <c r="U34" s="60">
        <v>1.0</v>
      </c>
      <c r="V34" s="58">
        <f t="shared" si="1"/>
        <v>5</v>
      </c>
      <c r="W34" s="64"/>
      <c r="X34" s="64"/>
      <c r="Y34" s="64"/>
      <c r="Z34" s="64"/>
      <c r="AA34" s="64"/>
      <c r="AB34" s="64"/>
    </row>
    <row r="35">
      <c r="B35" s="25">
        <v>2.4301388E7</v>
      </c>
      <c r="C35" s="27" t="s">
        <v>133</v>
      </c>
      <c r="D35" s="25">
        <v>1.0</v>
      </c>
      <c r="E35" s="25">
        <v>1.0</v>
      </c>
      <c r="F35" s="60">
        <v>1.0</v>
      </c>
      <c r="G35" s="25">
        <v>1.0</v>
      </c>
      <c r="H35" s="60">
        <v>1.0</v>
      </c>
      <c r="I35" s="25">
        <v>1.0</v>
      </c>
      <c r="J35" s="25">
        <v>1.0</v>
      </c>
      <c r="K35" s="60">
        <v>1.0</v>
      </c>
      <c r="L35" s="25">
        <v>1.0</v>
      </c>
      <c r="M35" s="25">
        <v>1.0</v>
      </c>
      <c r="N35" s="31"/>
      <c r="O35" s="25">
        <v>1.0</v>
      </c>
      <c r="P35" s="25">
        <v>1.0</v>
      </c>
      <c r="Q35" s="25">
        <v>1.0</v>
      </c>
      <c r="R35" s="25">
        <v>1.0</v>
      </c>
      <c r="S35" s="25" t="s">
        <v>44</v>
      </c>
      <c r="T35" s="25">
        <v>1.0</v>
      </c>
      <c r="U35" s="27">
        <v>1.0</v>
      </c>
      <c r="V35" s="58">
        <f t="shared" si="1"/>
        <v>1</v>
      </c>
      <c r="W35" s="64"/>
      <c r="X35" s="64"/>
      <c r="Y35" s="64"/>
      <c r="Z35" s="64"/>
      <c r="AA35" s="64"/>
      <c r="AB35" s="64"/>
    </row>
    <row r="36">
      <c r="B36" s="25">
        <v>2.430147E7</v>
      </c>
      <c r="C36" s="27" t="s">
        <v>134</v>
      </c>
      <c r="D36" s="25">
        <v>1.0</v>
      </c>
      <c r="E36" s="25">
        <v>1.0</v>
      </c>
      <c r="F36" s="60">
        <v>1.0</v>
      </c>
      <c r="G36" s="25">
        <v>1.0</v>
      </c>
      <c r="H36" s="25">
        <v>1.0</v>
      </c>
      <c r="I36" s="25" t="s">
        <v>44</v>
      </c>
      <c r="J36" s="25">
        <v>1.0</v>
      </c>
      <c r="K36" s="60">
        <v>1.0</v>
      </c>
      <c r="L36" s="25">
        <v>1.0</v>
      </c>
      <c r="M36" s="25">
        <v>1.0</v>
      </c>
      <c r="N36" s="31"/>
      <c r="O36" s="25" t="s">
        <v>44</v>
      </c>
      <c r="P36" s="60">
        <v>1.0</v>
      </c>
      <c r="Q36" s="60">
        <v>1.0</v>
      </c>
      <c r="R36" s="31"/>
      <c r="S36" s="25" t="s">
        <v>44</v>
      </c>
      <c r="T36" s="60">
        <v>1.0</v>
      </c>
      <c r="U36" s="60">
        <v>1.0</v>
      </c>
      <c r="V36" s="58">
        <f t="shared" si="1"/>
        <v>3</v>
      </c>
      <c r="W36" s="64"/>
      <c r="X36" s="64"/>
      <c r="Y36" s="64"/>
      <c r="Z36" s="64"/>
      <c r="AA36" s="64"/>
      <c r="AB36" s="64"/>
    </row>
    <row r="37">
      <c r="B37" s="25">
        <v>2.4301506E7</v>
      </c>
      <c r="C37" s="27" t="s">
        <v>135</v>
      </c>
      <c r="D37" s="25">
        <v>1.0</v>
      </c>
      <c r="E37" s="25" t="s">
        <v>44</v>
      </c>
      <c r="F37" s="25">
        <v>1.0</v>
      </c>
      <c r="G37" s="25">
        <v>1.0</v>
      </c>
      <c r="H37" s="25">
        <v>1.0</v>
      </c>
      <c r="I37" s="25" t="s">
        <v>44</v>
      </c>
      <c r="J37" s="25">
        <v>1.0</v>
      </c>
      <c r="K37" s="25">
        <v>1.0</v>
      </c>
      <c r="L37" s="25">
        <v>1.0</v>
      </c>
      <c r="M37" s="25">
        <v>1.0</v>
      </c>
      <c r="N37" s="25">
        <v>1.0</v>
      </c>
      <c r="O37" s="25">
        <v>1.0</v>
      </c>
      <c r="P37" s="25">
        <v>1.0</v>
      </c>
      <c r="Q37" s="25">
        <v>1.0</v>
      </c>
      <c r="R37" s="25">
        <v>1.0</v>
      </c>
      <c r="S37" s="25">
        <v>1.0</v>
      </c>
      <c r="T37" s="25">
        <v>1.0</v>
      </c>
      <c r="U37" s="27">
        <v>1.0</v>
      </c>
      <c r="V37" s="58">
        <f t="shared" si="1"/>
        <v>2</v>
      </c>
      <c r="W37" s="64"/>
      <c r="X37" s="64"/>
      <c r="Y37" s="64"/>
      <c r="Z37" s="64"/>
      <c r="AA37" s="64"/>
      <c r="AB37" s="64"/>
    </row>
    <row r="38">
      <c r="B38" s="25">
        <v>2.4321222E7</v>
      </c>
      <c r="C38" s="27" t="s">
        <v>136</v>
      </c>
      <c r="D38" s="25">
        <v>1.0</v>
      </c>
      <c r="E38" s="25">
        <v>1.0</v>
      </c>
      <c r="F38" s="60">
        <v>1.0</v>
      </c>
      <c r="G38" s="25" t="s">
        <v>44</v>
      </c>
      <c r="H38" s="25" t="s">
        <v>44</v>
      </c>
      <c r="I38" s="25" t="s">
        <v>44</v>
      </c>
      <c r="J38" s="25">
        <v>1.0</v>
      </c>
      <c r="K38" s="25">
        <v>1.0</v>
      </c>
      <c r="L38" s="25">
        <v>1.0</v>
      </c>
      <c r="M38" s="25">
        <v>1.0</v>
      </c>
      <c r="N38" s="25"/>
      <c r="O38" s="25" t="s">
        <v>44</v>
      </c>
      <c r="P38" s="25">
        <v>1.0</v>
      </c>
      <c r="Q38" s="25">
        <v>1.0</v>
      </c>
      <c r="R38" s="25">
        <v>1.0</v>
      </c>
      <c r="S38" s="25">
        <v>1.0</v>
      </c>
      <c r="T38" s="25" t="s">
        <v>44</v>
      </c>
      <c r="U38" s="27">
        <v>1.0</v>
      </c>
      <c r="V38" s="58">
        <f t="shared" si="1"/>
        <v>5</v>
      </c>
      <c r="W38" s="64"/>
      <c r="X38" s="64"/>
      <c r="Y38" s="64"/>
      <c r="Z38" s="64"/>
      <c r="AA38" s="64"/>
      <c r="AB38" s="64"/>
    </row>
    <row r="39">
      <c r="B39" s="25">
        <v>2.4321245E7</v>
      </c>
      <c r="C39" s="27" t="s">
        <v>137</v>
      </c>
      <c r="D39" s="25">
        <v>1.0</v>
      </c>
      <c r="E39" s="25">
        <v>1.0</v>
      </c>
      <c r="F39" s="25">
        <v>1.0</v>
      </c>
      <c r="G39" s="25" t="s">
        <v>44</v>
      </c>
      <c r="H39" s="25">
        <v>1.0</v>
      </c>
      <c r="I39" s="25">
        <v>1.0</v>
      </c>
      <c r="J39" s="25">
        <v>1.0</v>
      </c>
      <c r="K39" s="25" t="s">
        <v>44</v>
      </c>
      <c r="L39" s="25" t="s">
        <v>44</v>
      </c>
      <c r="M39" s="25">
        <v>1.0</v>
      </c>
      <c r="N39" s="31"/>
      <c r="O39" s="25">
        <v>1.0</v>
      </c>
      <c r="P39" s="25">
        <v>1.0</v>
      </c>
      <c r="Q39" s="25">
        <v>1.0</v>
      </c>
      <c r="R39" s="25">
        <v>1.0</v>
      </c>
      <c r="S39" s="25" t="s">
        <v>44</v>
      </c>
      <c r="T39" s="25">
        <v>1.0</v>
      </c>
      <c r="U39" s="27">
        <v>1.0</v>
      </c>
      <c r="V39" s="58">
        <f t="shared" si="1"/>
        <v>4</v>
      </c>
      <c r="W39" s="64"/>
      <c r="X39" s="64"/>
      <c r="Y39" s="64"/>
      <c r="Z39" s="64"/>
      <c r="AA39" s="64"/>
      <c r="AB39" s="64"/>
    </row>
    <row r="40">
      <c r="A40" s="9" t="s">
        <v>120</v>
      </c>
      <c r="B40" s="25">
        <v>2.4341023E7</v>
      </c>
      <c r="C40" s="27" t="s">
        <v>138</v>
      </c>
      <c r="D40" s="25" t="s">
        <v>44</v>
      </c>
      <c r="E40" s="25">
        <v>1.0</v>
      </c>
      <c r="F40" s="60">
        <v>1.0</v>
      </c>
      <c r="G40" s="25" t="s">
        <v>44</v>
      </c>
      <c r="H40" s="25">
        <v>1.0</v>
      </c>
      <c r="I40" s="25">
        <v>1.0</v>
      </c>
      <c r="J40" s="25">
        <v>1.0</v>
      </c>
      <c r="K40" s="25">
        <v>1.0</v>
      </c>
      <c r="L40" s="60">
        <v>1.0</v>
      </c>
      <c r="M40" s="25">
        <v>1.0</v>
      </c>
      <c r="N40" s="25">
        <v>1.0</v>
      </c>
      <c r="O40" s="25">
        <v>1.0</v>
      </c>
      <c r="P40" s="25" t="s">
        <v>44</v>
      </c>
      <c r="Q40" s="25">
        <v>1.0</v>
      </c>
      <c r="R40" s="25">
        <v>1.0</v>
      </c>
      <c r="S40" s="25">
        <v>1.0</v>
      </c>
      <c r="T40" s="25">
        <v>1.0</v>
      </c>
      <c r="U40" s="27">
        <v>1.0</v>
      </c>
      <c r="V40" s="58">
        <f t="shared" si="1"/>
        <v>3</v>
      </c>
      <c r="W40" s="64"/>
      <c r="X40" s="64"/>
      <c r="Y40" s="64"/>
      <c r="Z40" s="64"/>
      <c r="AA40" s="64"/>
      <c r="AB40" s="64"/>
    </row>
    <row r="41">
      <c r="B41" s="64"/>
      <c r="L41" s="69"/>
      <c r="M41" s="69"/>
      <c r="N41" s="64"/>
      <c r="O41" s="64"/>
      <c r="P41" s="64"/>
      <c r="Q41" s="64"/>
      <c r="R41" s="64"/>
      <c r="S41" s="64"/>
      <c r="T41" s="64"/>
      <c r="V41" s="58">
        <f t="shared" si="1"/>
        <v>0</v>
      </c>
      <c r="W41" s="64"/>
      <c r="X41" s="64"/>
      <c r="Y41" s="64"/>
      <c r="Z41" s="64"/>
      <c r="AA41" s="64"/>
      <c r="AB41" s="64"/>
    </row>
    <row r="42">
      <c r="B42" s="64"/>
      <c r="D42" s="44">
        <f t="shared" ref="D42:U42" si="2">COUNTIF(D3:D39,"A")</f>
        <v>12</v>
      </c>
      <c r="E42" s="44">
        <f t="shared" si="2"/>
        <v>8</v>
      </c>
      <c r="F42" s="44">
        <f t="shared" si="2"/>
        <v>8</v>
      </c>
      <c r="G42" s="44">
        <f t="shared" si="2"/>
        <v>9</v>
      </c>
      <c r="H42" s="44">
        <f t="shared" si="2"/>
        <v>12</v>
      </c>
      <c r="I42" s="44">
        <f t="shared" si="2"/>
        <v>13</v>
      </c>
      <c r="J42" s="44">
        <f t="shared" si="2"/>
        <v>5</v>
      </c>
      <c r="K42" s="44">
        <f t="shared" si="2"/>
        <v>12</v>
      </c>
      <c r="L42" s="44">
        <f t="shared" si="2"/>
        <v>13</v>
      </c>
      <c r="M42" s="44">
        <f t="shared" si="2"/>
        <v>12</v>
      </c>
      <c r="N42" s="44">
        <f t="shared" si="2"/>
        <v>0</v>
      </c>
      <c r="O42" s="44">
        <f t="shared" si="2"/>
        <v>13</v>
      </c>
      <c r="P42" s="44">
        <f t="shared" si="2"/>
        <v>14</v>
      </c>
      <c r="Q42" s="44">
        <f t="shared" si="2"/>
        <v>10</v>
      </c>
      <c r="R42" s="44">
        <f t="shared" si="2"/>
        <v>12</v>
      </c>
      <c r="S42" s="44">
        <f t="shared" si="2"/>
        <v>8</v>
      </c>
      <c r="T42" s="44">
        <f t="shared" si="2"/>
        <v>19</v>
      </c>
      <c r="U42" s="44">
        <f t="shared" si="2"/>
        <v>14</v>
      </c>
      <c r="V42" s="64"/>
      <c r="W42" s="64"/>
      <c r="X42" s="64"/>
      <c r="Y42" s="64"/>
      <c r="Z42" s="64"/>
      <c r="AA42" s="64"/>
      <c r="AB42" s="64"/>
    </row>
    <row r="43">
      <c r="B43" s="64"/>
      <c r="L43" s="69"/>
      <c r="M43" s="69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</row>
    <row r="44">
      <c r="B44" s="64"/>
      <c r="L44" s="69"/>
      <c r="M44" s="69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</row>
    <row r="45">
      <c r="B45" s="64"/>
      <c r="L45" s="69"/>
      <c r="M45" s="69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</row>
    <row r="46">
      <c r="B46" s="64"/>
      <c r="L46" s="69"/>
      <c r="M46" s="69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</row>
    <row r="47">
      <c r="B47" s="64"/>
    </row>
    <row r="48">
      <c r="B48" s="64"/>
    </row>
    <row r="49">
      <c r="B49" s="64"/>
    </row>
    <row r="50">
      <c r="B50" s="64"/>
    </row>
    <row r="51">
      <c r="B51" s="64"/>
    </row>
    <row r="52">
      <c r="B52" s="64"/>
    </row>
    <row r="53">
      <c r="B53" s="64"/>
    </row>
    <row r="54">
      <c r="B54" s="64"/>
    </row>
    <row r="55">
      <c r="B55" s="64"/>
    </row>
    <row r="56">
      <c r="B56" s="64"/>
    </row>
    <row r="57">
      <c r="B57" s="64"/>
    </row>
    <row r="58">
      <c r="B58" s="64"/>
    </row>
    <row r="59">
      <c r="B59" s="64"/>
    </row>
    <row r="60">
      <c r="B60" s="64"/>
    </row>
    <row r="61">
      <c r="B61" s="64"/>
    </row>
    <row r="62">
      <c r="B62" s="64"/>
    </row>
    <row r="63">
      <c r="B63" s="64"/>
    </row>
    <row r="64">
      <c r="B64" s="64"/>
    </row>
    <row r="65">
      <c r="B65" s="64"/>
    </row>
    <row r="66">
      <c r="B66" s="64"/>
    </row>
    <row r="67">
      <c r="B67" s="64"/>
    </row>
  </sheetData>
  <mergeCells count="1">
    <mergeCell ref="X4:Y5"/>
  </mergeCells>
  <conditionalFormatting sqref="D3:K40 L3:T41 U9 W9:AC46 U21:U23 U33:U34 U36 V42:V46 L43:U46">
    <cfRule type="cellIs" dxfId="4" priority="1" operator="equal">
      <formula>"A"</formula>
    </cfRule>
  </conditionalFormatting>
  <conditionalFormatting sqref="V3:V41">
    <cfRule type="cellIs" dxfId="4" priority="2" operator="greaterThanOrEqual">
      <formula>9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38"/>
    <col customWidth="1" min="5" max="8" width="6.38"/>
    <col customWidth="1" min="9" max="9" width="8.13"/>
    <col customWidth="1" min="11" max="14" width="5.13"/>
  </cols>
  <sheetData>
    <row r="7">
      <c r="C7" s="10" t="s">
        <v>5</v>
      </c>
      <c r="D7" s="10" t="s">
        <v>7</v>
      </c>
      <c r="E7" s="13" t="s">
        <v>13</v>
      </c>
      <c r="F7" s="13" t="s">
        <v>16</v>
      </c>
      <c r="G7" s="13" t="s">
        <v>18</v>
      </c>
      <c r="H7" s="13" t="s">
        <v>21</v>
      </c>
      <c r="I7" s="13" t="s">
        <v>23</v>
      </c>
      <c r="J7" s="18" t="s">
        <v>26</v>
      </c>
      <c r="K7" s="13" t="s">
        <v>29</v>
      </c>
      <c r="L7" s="13" t="s">
        <v>30</v>
      </c>
      <c r="M7" s="13" t="s">
        <v>31</v>
      </c>
      <c r="N7" s="13" t="s">
        <v>32</v>
      </c>
      <c r="O7" s="21" t="s">
        <v>33</v>
      </c>
      <c r="P7" s="22" t="s">
        <v>38</v>
      </c>
      <c r="Q7" s="24" t="s">
        <v>41</v>
      </c>
      <c r="R7" s="2"/>
      <c r="S7" s="28" t="s">
        <v>43</v>
      </c>
      <c r="T7" s="9" t="s">
        <v>46</v>
      </c>
    </row>
    <row r="8">
      <c r="C8" s="25">
        <v>2.2201539E7</v>
      </c>
      <c r="D8" s="27" t="s">
        <v>42</v>
      </c>
      <c r="E8" s="27">
        <v>0.0</v>
      </c>
      <c r="F8" s="27">
        <v>10.0</v>
      </c>
      <c r="G8" s="27">
        <v>9.5</v>
      </c>
      <c r="H8" s="27">
        <v>14.0</v>
      </c>
      <c r="I8" s="27">
        <v>0.0</v>
      </c>
      <c r="J8" s="58">
        <f t="shared" ref="J8:J45" si="1">round(SUMPRODUCT(large(E8:I8,{1,2,3}))/3,2)</f>
        <v>11.17</v>
      </c>
      <c r="K8" s="27">
        <v>10.0</v>
      </c>
      <c r="L8" s="27">
        <v>10.0</v>
      </c>
      <c r="M8" s="27">
        <v>10.0</v>
      </c>
      <c r="N8" s="27">
        <v>10.0</v>
      </c>
      <c r="O8" s="58">
        <f>AVERAGE(K8:N8)</f>
        <v>10</v>
      </c>
      <c r="P8" s="58">
        <v>0.0</v>
      </c>
      <c r="Q8" s="70">
        <v>0.0</v>
      </c>
      <c r="R8" s="58"/>
      <c r="S8" s="70">
        <f t="shared" ref="S8:S45" si="2">J8+O8+P8+Q8</f>
        <v>21.17</v>
      </c>
      <c r="T8" s="27">
        <v>21.0</v>
      </c>
    </row>
    <row r="9">
      <c r="C9" s="25">
        <v>2.2241014E7</v>
      </c>
      <c r="D9" s="27" t="s">
        <v>86</v>
      </c>
      <c r="E9" s="27">
        <v>0.0</v>
      </c>
      <c r="F9" s="27">
        <v>0.0</v>
      </c>
      <c r="G9" s="27">
        <v>0.0</v>
      </c>
      <c r="H9" s="27">
        <v>0.0</v>
      </c>
      <c r="I9" s="27">
        <v>0.0</v>
      </c>
      <c r="J9" s="58">
        <f t="shared" si="1"/>
        <v>0</v>
      </c>
      <c r="K9" s="27">
        <v>10.0</v>
      </c>
      <c r="L9" s="27">
        <v>10.0</v>
      </c>
      <c r="M9" s="27">
        <v>10.0</v>
      </c>
      <c r="N9" s="27">
        <v>10.0</v>
      </c>
      <c r="O9" s="27">
        <v>0.0</v>
      </c>
      <c r="P9" s="58">
        <v>23.275</v>
      </c>
      <c r="Q9" s="70">
        <v>0.0</v>
      </c>
      <c r="R9" s="58"/>
      <c r="S9" s="70">
        <f t="shared" si="2"/>
        <v>23.275</v>
      </c>
      <c r="T9" s="27">
        <v>28.0</v>
      </c>
    </row>
    <row r="10">
      <c r="C10" s="25">
        <v>2.2299163E7</v>
      </c>
      <c r="D10" s="27" t="s">
        <v>97</v>
      </c>
      <c r="E10" s="27">
        <v>0.0</v>
      </c>
      <c r="F10" s="27">
        <v>0.0</v>
      </c>
      <c r="G10" s="27">
        <v>0.0</v>
      </c>
      <c r="H10" s="27">
        <v>0.0</v>
      </c>
      <c r="I10" s="27">
        <v>0.0</v>
      </c>
      <c r="J10" s="58">
        <f t="shared" si="1"/>
        <v>0</v>
      </c>
      <c r="K10" s="27">
        <v>10.0</v>
      </c>
      <c r="L10" s="27">
        <v>10.0</v>
      </c>
      <c r="M10" s="27">
        <v>10.0</v>
      </c>
      <c r="N10" s="27">
        <v>10.0</v>
      </c>
      <c r="O10" s="27">
        <v>0.0</v>
      </c>
      <c r="P10" s="58">
        <v>23.625</v>
      </c>
      <c r="Q10" s="70">
        <v>0.0</v>
      </c>
      <c r="R10" s="58"/>
      <c r="S10" s="70">
        <f t="shared" si="2"/>
        <v>23.625</v>
      </c>
      <c r="T10" s="27">
        <v>29.0</v>
      </c>
    </row>
    <row r="11">
      <c r="C11" s="25">
        <v>2.3101399E7</v>
      </c>
      <c r="D11" s="27" t="s">
        <v>101</v>
      </c>
      <c r="E11" s="27">
        <v>14.5</v>
      </c>
      <c r="F11" s="27">
        <v>10.0</v>
      </c>
      <c r="G11" s="27">
        <v>12.0</v>
      </c>
      <c r="H11" s="27">
        <v>0.0</v>
      </c>
      <c r="I11" s="27">
        <v>9.5</v>
      </c>
      <c r="J11" s="58">
        <f t="shared" si="1"/>
        <v>12.17</v>
      </c>
      <c r="K11" s="27">
        <v>10.0</v>
      </c>
      <c r="L11" s="27">
        <v>10.0</v>
      </c>
      <c r="M11" s="27">
        <v>10.0</v>
      </c>
      <c r="N11" s="27">
        <v>10.0</v>
      </c>
      <c r="O11" s="58">
        <f t="shared" ref="O11:O45" si="3">AVERAGE(K11:N11)</f>
        <v>10</v>
      </c>
      <c r="P11" s="58">
        <v>9.45</v>
      </c>
      <c r="Q11" s="70">
        <v>8.05</v>
      </c>
      <c r="R11" s="58"/>
      <c r="S11" s="70">
        <f t="shared" si="2"/>
        <v>39.67</v>
      </c>
      <c r="T11" s="27">
        <v>40.0</v>
      </c>
    </row>
    <row r="12">
      <c r="C12" s="25">
        <v>2.3201132E7</v>
      </c>
      <c r="D12" s="27" t="s">
        <v>102</v>
      </c>
      <c r="E12" s="27">
        <v>18.0</v>
      </c>
      <c r="F12" s="27">
        <v>16.0</v>
      </c>
      <c r="G12" s="27">
        <v>7.5</v>
      </c>
      <c r="H12" s="27">
        <v>0.0</v>
      </c>
      <c r="I12" s="27">
        <v>11.25</v>
      </c>
      <c r="J12" s="58">
        <f t="shared" si="1"/>
        <v>15.08</v>
      </c>
      <c r="K12" s="27">
        <v>10.0</v>
      </c>
      <c r="L12" s="27">
        <v>10.0</v>
      </c>
      <c r="M12" s="27">
        <v>10.0</v>
      </c>
      <c r="N12" s="27">
        <v>10.0</v>
      </c>
      <c r="O12" s="58">
        <f t="shared" si="3"/>
        <v>10</v>
      </c>
      <c r="P12" s="58">
        <v>22.924999999999997</v>
      </c>
      <c r="Q12" s="70">
        <v>12.95</v>
      </c>
      <c r="R12" s="58"/>
      <c r="S12" s="70">
        <f t="shared" si="2"/>
        <v>60.955</v>
      </c>
      <c r="T12" s="27">
        <v>61.0</v>
      </c>
      <c r="U12" s="71"/>
    </row>
    <row r="13">
      <c r="C13" s="25">
        <v>2.3201622E7</v>
      </c>
      <c r="D13" s="27" t="s">
        <v>103</v>
      </c>
      <c r="E13" s="27">
        <v>16.0</v>
      </c>
      <c r="F13" s="27">
        <v>17.0</v>
      </c>
      <c r="G13" s="27">
        <v>19.5</v>
      </c>
      <c r="H13" s="27">
        <v>18.5</v>
      </c>
      <c r="I13" s="27">
        <v>16.5</v>
      </c>
      <c r="J13" s="58">
        <f t="shared" si="1"/>
        <v>18.33</v>
      </c>
      <c r="K13" s="27">
        <v>10.0</v>
      </c>
      <c r="L13" s="27">
        <v>9.0</v>
      </c>
      <c r="M13" s="27">
        <v>10.0</v>
      </c>
      <c r="N13" s="27">
        <v>10.0</v>
      </c>
      <c r="O13" s="58">
        <f t="shared" si="3"/>
        <v>9.75</v>
      </c>
      <c r="P13" s="58">
        <v>22.4</v>
      </c>
      <c r="Q13" s="70">
        <v>26.075</v>
      </c>
      <c r="R13" s="58"/>
      <c r="S13" s="70">
        <f t="shared" si="2"/>
        <v>76.555</v>
      </c>
      <c r="T13" s="27">
        <v>77.0</v>
      </c>
    </row>
    <row r="14">
      <c r="C14" s="25">
        <v>2.4101084E7</v>
      </c>
      <c r="D14" s="27" t="s">
        <v>104</v>
      </c>
      <c r="E14" s="27">
        <v>14.0</v>
      </c>
      <c r="F14" s="27">
        <v>10.0</v>
      </c>
      <c r="G14" s="27">
        <v>0.0</v>
      </c>
      <c r="H14" s="27">
        <v>15.0</v>
      </c>
      <c r="I14" s="27">
        <v>0.0</v>
      </c>
      <c r="J14" s="58">
        <f t="shared" si="1"/>
        <v>13</v>
      </c>
      <c r="K14" s="27">
        <v>10.0</v>
      </c>
      <c r="L14" s="27">
        <v>0.0</v>
      </c>
      <c r="M14" s="27">
        <v>0.0</v>
      </c>
      <c r="N14" s="27">
        <v>0.0</v>
      </c>
      <c r="O14" s="58">
        <f t="shared" si="3"/>
        <v>2.5</v>
      </c>
      <c r="P14" s="58">
        <v>22.224999999999998</v>
      </c>
      <c r="Q14" s="70">
        <v>0.0</v>
      </c>
      <c r="R14" s="58"/>
      <c r="S14" s="70">
        <f t="shared" si="2"/>
        <v>37.725</v>
      </c>
      <c r="T14" s="27">
        <v>38.0</v>
      </c>
      <c r="U14" s="61" t="s">
        <v>145</v>
      </c>
    </row>
    <row r="15">
      <c r="C15" s="25">
        <v>2.4101163E7</v>
      </c>
      <c r="D15" s="27" t="s">
        <v>105</v>
      </c>
      <c r="E15" s="27">
        <v>9.0</v>
      </c>
      <c r="F15" s="27">
        <v>13.0</v>
      </c>
      <c r="G15" s="27">
        <v>0.0</v>
      </c>
      <c r="H15" s="27">
        <v>12.0</v>
      </c>
      <c r="I15" s="27">
        <v>0.0</v>
      </c>
      <c r="J15" s="58">
        <f t="shared" si="1"/>
        <v>11.33</v>
      </c>
      <c r="K15" s="27">
        <v>10.0</v>
      </c>
      <c r="L15" s="27">
        <v>10.0</v>
      </c>
      <c r="M15" s="27">
        <v>10.0</v>
      </c>
      <c r="N15" s="27">
        <v>10.0</v>
      </c>
      <c r="O15" s="58">
        <f t="shared" si="3"/>
        <v>10</v>
      </c>
      <c r="P15" s="58">
        <v>17.325</v>
      </c>
      <c r="Q15" s="70">
        <v>11.725</v>
      </c>
      <c r="R15" s="58"/>
      <c r="S15" s="70">
        <f t="shared" si="2"/>
        <v>50.38</v>
      </c>
      <c r="T15" s="27">
        <v>50.0</v>
      </c>
    </row>
    <row r="16">
      <c r="C16" s="25">
        <v>2.4101223E7</v>
      </c>
      <c r="D16" s="27" t="s">
        <v>106</v>
      </c>
      <c r="E16" s="27">
        <v>0.0</v>
      </c>
      <c r="F16" s="27">
        <v>17.0</v>
      </c>
      <c r="G16" s="27">
        <v>18.0</v>
      </c>
      <c r="H16" s="27">
        <v>20.0</v>
      </c>
      <c r="I16" s="72">
        <v>13.0</v>
      </c>
      <c r="J16" s="58">
        <f t="shared" si="1"/>
        <v>18.33</v>
      </c>
      <c r="K16" s="27">
        <v>10.0</v>
      </c>
      <c r="L16" s="27">
        <v>10.0</v>
      </c>
      <c r="M16" s="27">
        <v>10.0</v>
      </c>
      <c r="N16" s="27">
        <v>10.0</v>
      </c>
      <c r="O16" s="58">
        <f t="shared" si="3"/>
        <v>10</v>
      </c>
      <c r="P16" s="58">
        <v>18.2</v>
      </c>
      <c r="Q16" s="70">
        <v>13.125</v>
      </c>
      <c r="R16" s="58"/>
      <c r="S16" s="70">
        <f t="shared" si="2"/>
        <v>59.655</v>
      </c>
      <c r="T16" s="73">
        <v>60.0</v>
      </c>
    </row>
    <row r="17">
      <c r="C17" s="25">
        <v>2.4101234E7</v>
      </c>
      <c r="D17" s="27" t="s">
        <v>107</v>
      </c>
      <c r="E17" s="27">
        <v>14.0</v>
      </c>
      <c r="F17" s="27">
        <v>13.0</v>
      </c>
      <c r="G17" s="27">
        <v>14.0</v>
      </c>
      <c r="H17" s="9">
        <v>17.5</v>
      </c>
      <c r="I17" s="27">
        <v>9.0</v>
      </c>
      <c r="J17" s="58">
        <f t="shared" si="1"/>
        <v>15.17</v>
      </c>
      <c r="K17" s="27">
        <v>10.0</v>
      </c>
      <c r="L17" s="27">
        <v>10.0</v>
      </c>
      <c r="M17" s="27">
        <v>10.0</v>
      </c>
      <c r="N17" s="27">
        <v>10.0</v>
      </c>
      <c r="O17" s="58">
        <f t="shared" si="3"/>
        <v>10</v>
      </c>
      <c r="P17" s="58">
        <v>15.749999999999998</v>
      </c>
      <c r="Q17" s="70">
        <v>15.925</v>
      </c>
      <c r="R17" s="58"/>
      <c r="S17" s="70">
        <f t="shared" si="2"/>
        <v>56.845</v>
      </c>
      <c r="T17" s="27">
        <v>57.0</v>
      </c>
    </row>
    <row r="18">
      <c r="C18" s="25">
        <v>2.4101266E7</v>
      </c>
      <c r="D18" s="27" t="s">
        <v>108</v>
      </c>
      <c r="E18" s="27">
        <v>19.0</v>
      </c>
      <c r="F18" s="27">
        <v>19.0</v>
      </c>
      <c r="G18" s="27">
        <v>0.0</v>
      </c>
      <c r="H18" s="27">
        <v>20.0</v>
      </c>
      <c r="I18" s="27">
        <v>20.0</v>
      </c>
      <c r="J18" s="58">
        <f t="shared" si="1"/>
        <v>19.67</v>
      </c>
      <c r="K18" s="27">
        <v>10.0</v>
      </c>
      <c r="L18" s="27">
        <v>10.0</v>
      </c>
      <c r="M18" s="27">
        <v>10.0</v>
      </c>
      <c r="N18" s="27">
        <v>10.0</v>
      </c>
      <c r="O18" s="58">
        <f t="shared" si="3"/>
        <v>10</v>
      </c>
      <c r="P18" s="58">
        <v>27.65</v>
      </c>
      <c r="Q18" s="70">
        <v>27.3</v>
      </c>
      <c r="R18" s="58"/>
      <c r="S18" s="70">
        <f t="shared" si="2"/>
        <v>84.62</v>
      </c>
      <c r="T18" s="27">
        <v>85.0</v>
      </c>
      <c r="U18" s="74"/>
    </row>
    <row r="19">
      <c r="C19" s="25">
        <v>2.4101278E7</v>
      </c>
      <c r="D19" s="27" t="s">
        <v>109</v>
      </c>
      <c r="E19" s="27">
        <v>18.5</v>
      </c>
      <c r="F19" s="27">
        <v>17.0</v>
      </c>
      <c r="G19" s="27">
        <v>14.5</v>
      </c>
      <c r="H19" s="27">
        <v>11.0</v>
      </c>
      <c r="I19" s="27">
        <v>17.5</v>
      </c>
      <c r="J19" s="58">
        <f t="shared" si="1"/>
        <v>17.67</v>
      </c>
      <c r="K19" s="27">
        <v>10.0</v>
      </c>
      <c r="L19" s="27">
        <v>10.0</v>
      </c>
      <c r="M19" s="27">
        <v>10.0</v>
      </c>
      <c r="N19" s="27">
        <v>10.0</v>
      </c>
      <c r="O19" s="58">
        <f t="shared" si="3"/>
        <v>10</v>
      </c>
      <c r="P19" s="58">
        <v>22.75</v>
      </c>
      <c r="Q19" s="70">
        <v>21.35</v>
      </c>
      <c r="R19" s="58"/>
      <c r="S19" s="70">
        <f t="shared" si="2"/>
        <v>71.77</v>
      </c>
      <c r="T19" s="27">
        <v>72.0</v>
      </c>
    </row>
    <row r="20">
      <c r="C20" s="25">
        <v>2.410152E7</v>
      </c>
      <c r="D20" s="27" t="s">
        <v>110</v>
      </c>
      <c r="E20" s="27">
        <v>16.0</v>
      </c>
      <c r="F20" s="27">
        <v>18.0</v>
      </c>
      <c r="G20" s="27">
        <v>18.0</v>
      </c>
      <c r="H20" s="27">
        <v>17.5</v>
      </c>
      <c r="I20" s="27">
        <v>0.0</v>
      </c>
      <c r="J20" s="58">
        <f t="shared" si="1"/>
        <v>17.83</v>
      </c>
      <c r="K20" s="27">
        <v>10.0</v>
      </c>
      <c r="L20" s="27">
        <v>10.0</v>
      </c>
      <c r="M20" s="27">
        <v>10.0</v>
      </c>
      <c r="N20" s="27">
        <v>10.0</v>
      </c>
      <c r="O20" s="58">
        <f t="shared" si="3"/>
        <v>10</v>
      </c>
      <c r="P20" s="58">
        <v>24.5</v>
      </c>
      <c r="Q20" s="70">
        <v>18.55</v>
      </c>
      <c r="R20" s="58"/>
      <c r="S20" s="70">
        <f t="shared" si="2"/>
        <v>70.88</v>
      </c>
      <c r="T20" s="27">
        <v>71.0</v>
      </c>
      <c r="U20" s="75"/>
    </row>
    <row r="21">
      <c r="C21" s="25">
        <v>2.4101634E7</v>
      </c>
      <c r="D21" s="27" t="s">
        <v>111</v>
      </c>
      <c r="E21" s="27">
        <v>0.0</v>
      </c>
      <c r="F21" s="27">
        <v>19.5</v>
      </c>
      <c r="G21" s="27">
        <v>0.0</v>
      </c>
      <c r="H21" s="9">
        <v>10.5</v>
      </c>
      <c r="I21" s="27">
        <v>13.5</v>
      </c>
      <c r="J21" s="58">
        <f t="shared" si="1"/>
        <v>14.5</v>
      </c>
      <c r="K21" s="27">
        <v>10.0</v>
      </c>
      <c r="L21" s="27">
        <v>10.0</v>
      </c>
      <c r="M21" s="27">
        <v>10.0</v>
      </c>
      <c r="N21" s="27">
        <v>10.0</v>
      </c>
      <c r="O21" s="58">
        <f t="shared" si="3"/>
        <v>10</v>
      </c>
      <c r="P21" s="58">
        <v>19.599999999999998</v>
      </c>
      <c r="Q21" s="70">
        <v>16.275</v>
      </c>
      <c r="R21" s="58"/>
      <c r="S21" s="70">
        <f t="shared" si="2"/>
        <v>60.375</v>
      </c>
      <c r="T21" s="27">
        <v>60.0</v>
      </c>
    </row>
    <row r="22">
      <c r="C22" s="25">
        <v>2.4141002E7</v>
      </c>
      <c r="D22" s="27" t="s">
        <v>112</v>
      </c>
      <c r="E22" s="27">
        <v>18.0</v>
      </c>
      <c r="F22" s="27">
        <v>15.0</v>
      </c>
      <c r="G22" s="27">
        <v>11.0</v>
      </c>
      <c r="H22" s="27">
        <v>12.5</v>
      </c>
      <c r="I22" s="27">
        <v>0.0</v>
      </c>
      <c r="J22" s="58">
        <f t="shared" si="1"/>
        <v>15.17</v>
      </c>
      <c r="K22" s="27">
        <v>10.0</v>
      </c>
      <c r="L22" s="27">
        <v>10.0</v>
      </c>
      <c r="M22" s="27">
        <v>10.0</v>
      </c>
      <c r="N22" s="27">
        <v>10.0</v>
      </c>
      <c r="O22" s="58">
        <f t="shared" si="3"/>
        <v>10</v>
      </c>
      <c r="P22" s="58">
        <v>16.625</v>
      </c>
      <c r="Q22" s="70">
        <v>20.65</v>
      </c>
      <c r="R22" s="58"/>
      <c r="S22" s="70">
        <f t="shared" si="2"/>
        <v>62.445</v>
      </c>
      <c r="T22" s="27">
        <v>62.0</v>
      </c>
    </row>
    <row r="23">
      <c r="C23" s="25">
        <v>2.4201015E7</v>
      </c>
      <c r="D23" s="27" t="s">
        <v>113</v>
      </c>
      <c r="E23" s="27">
        <v>17.5</v>
      </c>
      <c r="F23" s="27">
        <v>18.0</v>
      </c>
      <c r="G23" s="27">
        <v>0.0</v>
      </c>
      <c r="H23" s="27">
        <v>19.0</v>
      </c>
      <c r="I23" s="27">
        <v>18.25</v>
      </c>
      <c r="J23" s="58">
        <f t="shared" si="1"/>
        <v>18.42</v>
      </c>
      <c r="K23" s="27">
        <v>10.0</v>
      </c>
      <c r="L23" s="27">
        <v>10.0</v>
      </c>
      <c r="M23" s="27">
        <v>10.0</v>
      </c>
      <c r="N23" s="27">
        <v>10.0</v>
      </c>
      <c r="O23" s="58">
        <f t="shared" si="3"/>
        <v>10</v>
      </c>
      <c r="P23" s="58">
        <v>21.7</v>
      </c>
      <c r="Q23" s="70">
        <v>25.55</v>
      </c>
      <c r="R23" s="58"/>
      <c r="S23" s="70">
        <f t="shared" si="2"/>
        <v>75.67</v>
      </c>
      <c r="T23" s="27">
        <v>76.0</v>
      </c>
    </row>
    <row r="24">
      <c r="C24" s="25">
        <v>2.4201019E7</v>
      </c>
      <c r="D24" s="27" t="s">
        <v>114</v>
      </c>
      <c r="E24" s="27">
        <v>14.5</v>
      </c>
      <c r="F24" s="27">
        <v>17.0</v>
      </c>
      <c r="G24" s="27">
        <v>15.5</v>
      </c>
      <c r="H24" s="27">
        <v>0.0</v>
      </c>
      <c r="I24" s="27">
        <v>15.5</v>
      </c>
      <c r="J24" s="58">
        <f t="shared" si="1"/>
        <v>16</v>
      </c>
      <c r="K24" s="27">
        <v>10.0</v>
      </c>
      <c r="L24" s="27">
        <v>10.0</v>
      </c>
      <c r="M24" s="27">
        <v>10.0</v>
      </c>
      <c r="N24" s="27">
        <v>10.0</v>
      </c>
      <c r="O24" s="58">
        <f t="shared" si="3"/>
        <v>10</v>
      </c>
      <c r="P24" s="58">
        <v>21.349999999999998</v>
      </c>
      <c r="Q24" s="70">
        <v>17.675</v>
      </c>
      <c r="R24" s="58"/>
      <c r="S24" s="70">
        <f t="shared" si="2"/>
        <v>65.025</v>
      </c>
      <c r="T24" s="27">
        <v>65.0</v>
      </c>
    </row>
    <row r="25">
      <c r="C25" s="25">
        <v>2.4201027E7</v>
      </c>
      <c r="D25" s="27" t="s">
        <v>115</v>
      </c>
      <c r="E25" s="27">
        <v>13.0</v>
      </c>
      <c r="F25" s="27">
        <v>5.0</v>
      </c>
      <c r="G25" s="27">
        <v>0.0</v>
      </c>
      <c r="H25" s="27">
        <v>0.0</v>
      </c>
      <c r="I25" s="27">
        <v>9.5</v>
      </c>
      <c r="J25" s="58">
        <f t="shared" si="1"/>
        <v>9.17</v>
      </c>
      <c r="K25" s="27">
        <v>10.0</v>
      </c>
      <c r="L25" s="27">
        <v>10.0</v>
      </c>
      <c r="M25" s="27">
        <v>10.0</v>
      </c>
      <c r="N25" s="27">
        <v>10.0</v>
      </c>
      <c r="O25" s="58">
        <f t="shared" si="3"/>
        <v>10</v>
      </c>
      <c r="P25" s="58">
        <v>22.224999999999998</v>
      </c>
      <c r="Q25" s="70">
        <v>13.65</v>
      </c>
      <c r="R25" s="58"/>
      <c r="S25" s="70">
        <f t="shared" si="2"/>
        <v>55.045</v>
      </c>
      <c r="T25" s="27">
        <v>55.0</v>
      </c>
    </row>
    <row r="26">
      <c r="C26" s="25">
        <v>2.4201172E7</v>
      </c>
      <c r="D26" s="27" t="s">
        <v>116</v>
      </c>
      <c r="E26" s="27">
        <v>19.5</v>
      </c>
      <c r="F26" s="27">
        <v>20.0</v>
      </c>
      <c r="G26" s="27">
        <v>19.0</v>
      </c>
      <c r="H26" s="27">
        <v>19.5</v>
      </c>
      <c r="I26" s="27">
        <v>18.5</v>
      </c>
      <c r="J26" s="58">
        <f t="shared" si="1"/>
        <v>19.67</v>
      </c>
      <c r="K26" s="27">
        <v>10.0</v>
      </c>
      <c r="L26" s="27">
        <v>10.0</v>
      </c>
      <c r="M26" s="27">
        <v>10.0</v>
      </c>
      <c r="N26" s="27">
        <v>10.0</v>
      </c>
      <c r="O26" s="58">
        <f t="shared" si="3"/>
        <v>10</v>
      </c>
      <c r="P26" s="58">
        <v>26.775</v>
      </c>
      <c r="Q26" s="70">
        <v>29.75</v>
      </c>
      <c r="R26" s="58"/>
      <c r="S26" s="70">
        <f t="shared" si="2"/>
        <v>86.195</v>
      </c>
      <c r="T26" s="27">
        <v>87.0</v>
      </c>
    </row>
    <row r="27">
      <c r="C27" s="25">
        <v>2.4201302E7</v>
      </c>
      <c r="D27" s="27" t="s">
        <v>118</v>
      </c>
      <c r="E27" s="27">
        <v>19.0</v>
      </c>
      <c r="F27" s="27">
        <v>10.0</v>
      </c>
      <c r="G27" s="27">
        <v>20.0</v>
      </c>
      <c r="H27" s="27">
        <v>20.0</v>
      </c>
      <c r="I27" s="27">
        <v>18.5</v>
      </c>
      <c r="J27" s="58">
        <f t="shared" si="1"/>
        <v>19.67</v>
      </c>
      <c r="K27" s="27">
        <v>10.0</v>
      </c>
      <c r="L27" s="27">
        <v>10.0</v>
      </c>
      <c r="M27" s="27">
        <v>10.0</v>
      </c>
      <c r="N27" s="27">
        <v>10.0</v>
      </c>
      <c r="O27" s="58">
        <f t="shared" si="3"/>
        <v>10</v>
      </c>
      <c r="P27" s="58">
        <v>20.299999999999997</v>
      </c>
      <c r="Q27" s="70">
        <v>19.6</v>
      </c>
      <c r="R27" s="58"/>
      <c r="S27" s="70">
        <f t="shared" si="2"/>
        <v>69.57</v>
      </c>
      <c r="T27" s="27">
        <v>70.0</v>
      </c>
      <c r="U27" s="71"/>
    </row>
    <row r="28">
      <c r="C28" s="25">
        <v>2.4201308E7</v>
      </c>
      <c r="D28" s="27" t="s">
        <v>121</v>
      </c>
      <c r="E28" s="27">
        <v>18.0</v>
      </c>
      <c r="F28" s="27">
        <v>19.0</v>
      </c>
      <c r="G28" s="27">
        <v>17.5</v>
      </c>
      <c r="H28" s="27">
        <v>17.0</v>
      </c>
      <c r="I28" s="27">
        <v>16.0</v>
      </c>
      <c r="J28" s="58">
        <f t="shared" si="1"/>
        <v>18.17</v>
      </c>
      <c r="K28" s="27">
        <v>10.0</v>
      </c>
      <c r="L28" s="27">
        <v>10.0</v>
      </c>
      <c r="M28" s="27">
        <v>10.0</v>
      </c>
      <c r="N28" s="27">
        <v>10.0</v>
      </c>
      <c r="O28" s="58">
        <f t="shared" si="3"/>
        <v>10</v>
      </c>
      <c r="P28" s="58">
        <v>23.45</v>
      </c>
      <c r="Q28" s="70">
        <v>24.15</v>
      </c>
      <c r="R28" s="58"/>
      <c r="S28" s="70">
        <f t="shared" si="2"/>
        <v>75.77</v>
      </c>
      <c r="T28" s="27">
        <v>76.0</v>
      </c>
    </row>
    <row r="29">
      <c r="C29" s="25">
        <v>2.4201334E7</v>
      </c>
      <c r="D29" s="27" t="s">
        <v>122</v>
      </c>
      <c r="E29" s="27">
        <v>17.0</v>
      </c>
      <c r="F29" s="27">
        <v>18.0</v>
      </c>
      <c r="G29" s="27">
        <v>17.5</v>
      </c>
      <c r="H29" s="27">
        <v>12.5</v>
      </c>
      <c r="I29" s="27">
        <v>17.25</v>
      </c>
      <c r="J29" s="58">
        <f t="shared" si="1"/>
        <v>17.58</v>
      </c>
      <c r="K29" s="27">
        <v>10.0</v>
      </c>
      <c r="L29" s="27">
        <v>10.0</v>
      </c>
      <c r="M29" s="27">
        <v>10.0</v>
      </c>
      <c r="N29" s="27">
        <v>10.0</v>
      </c>
      <c r="O29" s="58">
        <f t="shared" si="3"/>
        <v>10</v>
      </c>
      <c r="P29" s="58">
        <v>18.549999999999997</v>
      </c>
      <c r="Q29" s="70">
        <v>20.475</v>
      </c>
      <c r="R29" s="58"/>
      <c r="S29" s="70">
        <f t="shared" si="2"/>
        <v>66.605</v>
      </c>
      <c r="T29" s="27">
        <v>67.0</v>
      </c>
    </row>
    <row r="30">
      <c r="C30" s="25">
        <v>2.4201361E7</v>
      </c>
      <c r="D30" s="27" t="s">
        <v>123</v>
      </c>
      <c r="E30" s="27">
        <v>15.0</v>
      </c>
      <c r="F30" s="27">
        <v>18.0</v>
      </c>
      <c r="G30" s="27">
        <v>16.5</v>
      </c>
      <c r="H30" s="27">
        <v>17.5</v>
      </c>
      <c r="I30" s="27">
        <v>0.0</v>
      </c>
      <c r="J30" s="58">
        <f t="shared" si="1"/>
        <v>17.33</v>
      </c>
      <c r="K30" s="27">
        <v>10.0</v>
      </c>
      <c r="L30" s="27">
        <v>10.0</v>
      </c>
      <c r="M30" s="27">
        <v>10.0</v>
      </c>
      <c r="N30" s="27">
        <v>10.0</v>
      </c>
      <c r="O30" s="58">
        <f t="shared" si="3"/>
        <v>10</v>
      </c>
      <c r="P30" s="58">
        <v>27.299999999999997</v>
      </c>
      <c r="Q30" s="70">
        <v>25.9</v>
      </c>
      <c r="R30" s="58"/>
      <c r="S30" s="70">
        <f t="shared" si="2"/>
        <v>80.53</v>
      </c>
      <c r="T30" s="27">
        <v>81.0</v>
      </c>
    </row>
    <row r="31">
      <c r="C31" s="25">
        <v>2.4201437E7</v>
      </c>
      <c r="D31" s="27" t="s">
        <v>124</v>
      </c>
      <c r="E31" s="27">
        <v>13.0</v>
      </c>
      <c r="F31" s="27">
        <v>19.0</v>
      </c>
      <c r="G31" s="27">
        <v>17.5</v>
      </c>
      <c r="H31" s="27">
        <v>20.0</v>
      </c>
      <c r="I31" s="27">
        <v>18.5</v>
      </c>
      <c r="J31" s="58">
        <f t="shared" si="1"/>
        <v>19.17</v>
      </c>
      <c r="K31" s="27">
        <v>10.0</v>
      </c>
      <c r="L31" s="27">
        <v>10.0</v>
      </c>
      <c r="M31" s="27">
        <v>10.0</v>
      </c>
      <c r="N31" s="27">
        <v>10.0</v>
      </c>
      <c r="O31" s="58">
        <f t="shared" si="3"/>
        <v>10</v>
      </c>
      <c r="P31" s="58">
        <v>18.724999999999998</v>
      </c>
      <c r="Q31" s="70">
        <v>27.125</v>
      </c>
      <c r="R31" s="58"/>
      <c r="S31" s="70">
        <f t="shared" si="2"/>
        <v>75.02</v>
      </c>
      <c r="T31" s="27">
        <v>75.0</v>
      </c>
      <c r="U31" s="76"/>
    </row>
    <row r="32">
      <c r="C32" s="25">
        <v>2.4201456E7</v>
      </c>
      <c r="D32" s="27" t="s">
        <v>125</v>
      </c>
      <c r="E32" s="27">
        <v>20.0</v>
      </c>
      <c r="F32" s="27">
        <v>19.0</v>
      </c>
      <c r="G32" s="27">
        <v>19.5</v>
      </c>
      <c r="H32" s="9">
        <v>0.0</v>
      </c>
      <c r="I32" s="27">
        <v>16.5</v>
      </c>
      <c r="J32" s="58">
        <f t="shared" si="1"/>
        <v>19.5</v>
      </c>
      <c r="K32" s="27">
        <v>10.0</v>
      </c>
      <c r="L32" s="27">
        <v>10.0</v>
      </c>
      <c r="M32" s="27">
        <v>10.0</v>
      </c>
      <c r="N32" s="27">
        <v>10.0</v>
      </c>
      <c r="O32" s="58">
        <f t="shared" si="3"/>
        <v>10</v>
      </c>
      <c r="P32" s="58">
        <v>16.099999999999998</v>
      </c>
      <c r="Q32" s="70">
        <v>11.9</v>
      </c>
      <c r="R32" s="58"/>
      <c r="S32" s="70">
        <f t="shared" si="2"/>
        <v>57.5</v>
      </c>
      <c r="T32" s="27">
        <v>58.0</v>
      </c>
      <c r="U32" s="71"/>
    </row>
    <row r="33">
      <c r="C33" s="25">
        <v>2.4301066E7</v>
      </c>
      <c r="D33" s="27" t="s">
        <v>126</v>
      </c>
      <c r="E33" s="27">
        <v>20.0</v>
      </c>
      <c r="F33" s="27">
        <v>16.0</v>
      </c>
      <c r="G33" s="27">
        <v>0.0</v>
      </c>
      <c r="H33" s="27">
        <v>18.0</v>
      </c>
      <c r="I33" s="27">
        <v>0.0</v>
      </c>
      <c r="J33" s="58">
        <f t="shared" si="1"/>
        <v>18</v>
      </c>
      <c r="K33" s="27">
        <v>10.0</v>
      </c>
      <c r="L33" s="27">
        <v>10.0</v>
      </c>
      <c r="M33" s="27">
        <v>10.0</v>
      </c>
      <c r="N33" s="27">
        <v>10.0</v>
      </c>
      <c r="O33" s="58">
        <f t="shared" si="3"/>
        <v>10</v>
      </c>
      <c r="P33" s="58">
        <v>27.474999999999998</v>
      </c>
      <c r="Q33" s="70">
        <v>29.225</v>
      </c>
      <c r="R33" s="58"/>
      <c r="S33" s="70">
        <f t="shared" si="2"/>
        <v>84.7</v>
      </c>
      <c r="T33" s="27">
        <v>85.0</v>
      </c>
    </row>
    <row r="34">
      <c r="C34" s="25">
        <v>2.4301073E7</v>
      </c>
      <c r="D34" s="27" t="s">
        <v>127</v>
      </c>
      <c r="E34" s="27">
        <v>11.0</v>
      </c>
      <c r="F34" s="27">
        <v>16.0</v>
      </c>
      <c r="G34" s="27">
        <v>16.0</v>
      </c>
      <c r="H34" s="27">
        <v>13.5</v>
      </c>
      <c r="I34" s="27">
        <v>15.5</v>
      </c>
      <c r="J34" s="58">
        <f t="shared" si="1"/>
        <v>15.83</v>
      </c>
      <c r="K34" s="27">
        <v>10.0</v>
      </c>
      <c r="L34" s="27">
        <v>10.0</v>
      </c>
      <c r="M34" s="27">
        <v>10.0</v>
      </c>
      <c r="N34" s="27">
        <v>10.0</v>
      </c>
      <c r="O34" s="58">
        <f t="shared" si="3"/>
        <v>10</v>
      </c>
      <c r="P34" s="58">
        <v>17.15</v>
      </c>
      <c r="Q34" s="70">
        <v>23.975</v>
      </c>
      <c r="R34" s="58"/>
      <c r="S34" s="70">
        <f t="shared" si="2"/>
        <v>66.955</v>
      </c>
      <c r="T34" s="27">
        <v>67.0</v>
      </c>
    </row>
    <row r="35">
      <c r="C35" s="25">
        <v>2.4301173E7</v>
      </c>
      <c r="D35" s="27" t="s">
        <v>128</v>
      </c>
      <c r="E35" s="27">
        <v>18.5</v>
      </c>
      <c r="F35" s="27">
        <v>18.0</v>
      </c>
      <c r="G35" s="27">
        <v>16.0</v>
      </c>
      <c r="H35" s="27">
        <v>11.5</v>
      </c>
      <c r="I35" s="27">
        <v>15.0</v>
      </c>
      <c r="J35" s="58">
        <f t="shared" si="1"/>
        <v>17.5</v>
      </c>
      <c r="K35" s="27">
        <v>10.0</v>
      </c>
      <c r="L35" s="27">
        <v>10.0</v>
      </c>
      <c r="M35" s="27">
        <v>10.0</v>
      </c>
      <c r="N35" s="27">
        <v>10.0</v>
      </c>
      <c r="O35" s="58">
        <f t="shared" si="3"/>
        <v>10</v>
      </c>
      <c r="P35" s="58">
        <v>25.025</v>
      </c>
      <c r="Q35" s="70">
        <v>23.625</v>
      </c>
      <c r="R35" s="58"/>
      <c r="S35" s="70">
        <f t="shared" si="2"/>
        <v>76.15</v>
      </c>
      <c r="T35" s="27">
        <v>76.0</v>
      </c>
    </row>
    <row r="36">
      <c r="C36" s="25">
        <v>2.4301181E7</v>
      </c>
      <c r="D36" s="27" t="s">
        <v>129</v>
      </c>
      <c r="E36" s="27">
        <v>18.5</v>
      </c>
      <c r="F36" s="27">
        <v>19.0</v>
      </c>
      <c r="G36" s="27">
        <v>18.5</v>
      </c>
      <c r="H36" s="27">
        <v>19.0</v>
      </c>
      <c r="I36" s="27">
        <v>11.5</v>
      </c>
      <c r="J36" s="58">
        <f t="shared" si="1"/>
        <v>18.83</v>
      </c>
      <c r="K36" s="27">
        <v>10.0</v>
      </c>
      <c r="L36" s="27">
        <v>10.0</v>
      </c>
      <c r="M36" s="27">
        <v>10.0</v>
      </c>
      <c r="N36" s="27">
        <v>10.0</v>
      </c>
      <c r="O36" s="58">
        <f t="shared" si="3"/>
        <v>10</v>
      </c>
      <c r="P36" s="58">
        <v>19.424999999999997</v>
      </c>
      <c r="Q36" s="70">
        <v>16.8</v>
      </c>
      <c r="R36" s="58"/>
      <c r="S36" s="70">
        <f t="shared" si="2"/>
        <v>65.055</v>
      </c>
      <c r="T36" s="27">
        <v>65.0</v>
      </c>
      <c r="U36" s="77"/>
    </row>
    <row r="37">
      <c r="C37" s="25">
        <v>2.4301244E7</v>
      </c>
      <c r="D37" s="27" t="s">
        <v>130</v>
      </c>
      <c r="E37" s="27">
        <v>14.5</v>
      </c>
      <c r="F37" s="27">
        <v>17.0</v>
      </c>
      <c r="G37" s="27">
        <v>17.0</v>
      </c>
      <c r="H37" s="27">
        <v>13.5</v>
      </c>
      <c r="I37" s="27">
        <v>18.0</v>
      </c>
      <c r="J37" s="58">
        <f t="shared" si="1"/>
        <v>17.33</v>
      </c>
      <c r="K37" s="27">
        <v>10.0</v>
      </c>
      <c r="L37" s="27">
        <v>10.0</v>
      </c>
      <c r="M37" s="27">
        <v>10.0</v>
      </c>
      <c r="N37" s="27">
        <v>10.0</v>
      </c>
      <c r="O37" s="58">
        <f t="shared" si="3"/>
        <v>10</v>
      </c>
      <c r="P37" s="58">
        <v>27.299999999999997</v>
      </c>
      <c r="Q37" s="70">
        <v>21.35</v>
      </c>
      <c r="R37" s="58"/>
      <c r="S37" s="70">
        <f t="shared" si="2"/>
        <v>75.98</v>
      </c>
      <c r="T37" s="27">
        <v>76.0</v>
      </c>
    </row>
    <row r="38">
      <c r="C38" s="25">
        <v>2.4301305E7</v>
      </c>
      <c r="D38" s="27" t="s">
        <v>131</v>
      </c>
      <c r="E38" s="27">
        <v>13.0</v>
      </c>
      <c r="F38" s="27">
        <v>15.0</v>
      </c>
      <c r="G38" s="27">
        <v>18.0</v>
      </c>
      <c r="H38" s="27">
        <v>11.0</v>
      </c>
      <c r="I38" s="27">
        <v>11.5</v>
      </c>
      <c r="J38" s="58">
        <f t="shared" si="1"/>
        <v>15.33</v>
      </c>
      <c r="K38" s="27">
        <v>10.0</v>
      </c>
      <c r="L38" s="27">
        <v>10.0</v>
      </c>
      <c r="M38" s="27">
        <v>10.0</v>
      </c>
      <c r="N38" s="27">
        <v>10.0</v>
      </c>
      <c r="O38" s="58">
        <f t="shared" si="3"/>
        <v>10</v>
      </c>
      <c r="P38" s="58">
        <v>17.674999999999997</v>
      </c>
      <c r="Q38" s="70">
        <v>18.2</v>
      </c>
      <c r="R38" s="58"/>
      <c r="S38" s="70">
        <f t="shared" si="2"/>
        <v>61.205</v>
      </c>
      <c r="T38" s="27">
        <v>61.0</v>
      </c>
    </row>
    <row r="39">
      <c r="C39" s="25">
        <v>2.4301372E7</v>
      </c>
      <c r="D39" s="27" t="s">
        <v>132</v>
      </c>
      <c r="E39" s="27">
        <v>14.5</v>
      </c>
      <c r="F39" s="27">
        <v>17.0</v>
      </c>
      <c r="G39" s="27">
        <v>19.5</v>
      </c>
      <c r="H39" s="27">
        <v>19.75</v>
      </c>
      <c r="I39" s="27">
        <v>0.0</v>
      </c>
      <c r="J39" s="58">
        <f t="shared" si="1"/>
        <v>18.75</v>
      </c>
      <c r="K39" s="27">
        <v>10.0</v>
      </c>
      <c r="L39" s="27">
        <v>10.0</v>
      </c>
      <c r="M39" s="27">
        <v>10.0</v>
      </c>
      <c r="N39" s="27">
        <v>10.0</v>
      </c>
      <c r="O39" s="58">
        <f t="shared" si="3"/>
        <v>10</v>
      </c>
      <c r="P39" s="58">
        <v>29.224999999999998</v>
      </c>
      <c r="Q39" s="70">
        <v>29.05</v>
      </c>
      <c r="R39" s="58"/>
      <c r="S39" s="70">
        <f t="shared" si="2"/>
        <v>87.025</v>
      </c>
      <c r="T39" s="27">
        <v>87.0</v>
      </c>
    </row>
    <row r="40">
      <c r="C40" s="25">
        <v>2.4301388E7</v>
      </c>
      <c r="D40" s="27" t="s">
        <v>133</v>
      </c>
      <c r="E40" s="27">
        <v>19.0</v>
      </c>
      <c r="F40" s="27">
        <v>19.0</v>
      </c>
      <c r="G40" s="27">
        <v>18.0</v>
      </c>
      <c r="H40" s="9">
        <v>17.0</v>
      </c>
      <c r="I40" s="27">
        <v>16.5</v>
      </c>
      <c r="J40" s="58">
        <f t="shared" si="1"/>
        <v>18.67</v>
      </c>
      <c r="K40" s="27">
        <v>10.0</v>
      </c>
      <c r="L40" s="27">
        <v>10.0</v>
      </c>
      <c r="M40" s="27">
        <v>10.0</v>
      </c>
      <c r="N40" s="27">
        <v>10.0</v>
      </c>
      <c r="O40" s="58">
        <f t="shared" si="3"/>
        <v>10</v>
      </c>
      <c r="P40" s="58">
        <v>25.375</v>
      </c>
      <c r="Q40" s="70">
        <v>26.95</v>
      </c>
      <c r="R40" s="58"/>
      <c r="S40" s="70">
        <f t="shared" si="2"/>
        <v>80.995</v>
      </c>
      <c r="T40" s="27">
        <v>81.0</v>
      </c>
    </row>
    <row r="41">
      <c r="C41" s="25">
        <v>2.430147E7</v>
      </c>
      <c r="D41" s="27" t="s">
        <v>134</v>
      </c>
      <c r="E41" s="27">
        <v>19.5</v>
      </c>
      <c r="F41" s="27">
        <v>20.0</v>
      </c>
      <c r="G41" s="27">
        <v>20.0</v>
      </c>
      <c r="H41" s="27">
        <v>0.0</v>
      </c>
      <c r="I41" s="27">
        <v>11.25</v>
      </c>
      <c r="J41" s="58">
        <f t="shared" si="1"/>
        <v>19.83</v>
      </c>
      <c r="K41" s="27">
        <v>10.0</v>
      </c>
      <c r="L41" s="27">
        <v>10.0</v>
      </c>
      <c r="M41" s="27">
        <v>10.0</v>
      </c>
      <c r="N41" s="27">
        <v>10.0</v>
      </c>
      <c r="O41" s="58">
        <f t="shared" si="3"/>
        <v>10</v>
      </c>
      <c r="P41" s="58">
        <v>23.45</v>
      </c>
      <c r="Q41" s="70">
        <v>26.25</v>
      </c>
      <c r="R41" s="58"/>
      <c r="S41" s="70">
        <f t="shared" si="2"/>
        <v>79.53</v>
      </c>
      <c r="T41" s="27">
        <v>80.0</v>
      </c>
    </row>
    <row r="42">
      <c r="C42" s="25">
        <v>2.4301506E7</v>
      </c>
      <c r="D42" s="27" t="s">
        <v>135</v>
      </c>
      <c r="E42" s="27">
        <v>17.0</v>
      </c>
      <c r="F42" s="27">
        <v>17.0</v>
      </c>
      <c r="G42" s="27">
        <v>18.0</v>
      </c>
      <c r="H42" s="27">
        <v>18.5</v>
      </c>
      <c r="I42" s="27">
        <v>19.0</v>
      </c>
      <c r="J42" s="58">
        <f t="shared" si="1"/>
        <v>18.5</v>
      </c>
      <c r="K42" s="27">
        <v>10.0</v>
      </c>
      <c r="L42" s="27">
        <v>10.0</v>
      </c>
      <c r="M42" s="27">
        <v>10.0</v>
      </c>
      <c r="N42" s="27">
        <v>10.0</v>
      </c>
      <c r="O42" s="58">
        <f t="shared" si="3"/>
        <v>10</v>
      </c>
      <c r="P42" s="58">
        <v>27.125</v>
      </c>
      <c r="Q42" s="70">
        <v>29.05</v>
      </c>
      <c r="R42" s="58"/>
      <c r="S42" s="70">
        <f t="shared" si="2"/>
        <v>84.675</v>
      </c>
      <c r="T42" s="27">
        <v>85.0</v>
      </c>
      <c r="U42" s="77"/>
    </row>
    <row r="43">
      <c r="C43" s="25">
        <v>2.4321222E7</v>
      </c>
      <c r="D43" s="27" t="s">
        <v>136</v>
      </c>
      <c r="E43" s="27">
        <v>12.0</v>
      </c>
      <c r="F43" s="27">
        <v>12.0</v>
      </c>
      <c r="G43" s="27">
        <v>0.0</v>
      </c>
      <c r="H43" s="27">
        <v>17.0</v>
      </c>
      <c r="I43" s="27">
        <v>17.0</v>
      </c>
      <c r="J43" s="58">
        <f t="shared" si="1"/>
        <v>15.33</v>
      </c>
      <c r="K43" s="27">
        <v>10.0</v>
      </c>
      <c r="L43" s="27">
        <v>10.0</v>
      </c>
      <c r="M43" s="27">
        <v>10.0</v>
      </c>
      <c r="N43" s="27">
        <v>10.0</v>
      </c>
      <c r="O43" s="58">
        <f t="shared" si="3"/>
        <v>10</v>
      </c>
      <c r="P43" s="58">
        <v>25.375</v>
      </c>
      <c r="Q43" s="70">
        <v>23.975</v>
      </c>
      <c r="R43" s="58"/>
      <c r="S43" s="70">
        <f t="shared" si="2"/>
        <v>74.68</v>
      </c>
      <c r="T43" s="27">
        <v>75.0</v>
      </c>
      <c r="U43" s="77"/>
    </row>
    <row r="44">
      <c r="C44" s="25">
        <v>2.4321245E7</v>
      </c>
      <c r="D44" s="27" t="s">
        <v>137</v>
      </c>
      <c r="E44" s="27">
        <v>13.0</v>
      </c>
      <c r="F44" s="27">
        <v>16.0</v>
      </c>
      <c r="G44" s="27">
        <v>0.0</v>
      </c>
      <c r="H44" s="27">
        <v>20.0</v>
      </c>
      <c r="I44" s="27">
        <v>17.0</v>
      </c>
      <c r="J44" s="58">
        <f t="shared" si="1"/>
        <v>17.67</v>
      </c>
      <c r="K44" s="27">
        <v>10.0</v>
      </c>
      <c r="L44" s="27">
        <v>10.0</v>
      </c>
      <c r="M44" s="27">
        <v>10.0</v>
      </c>
      <c r="N44" s="27">
        <v>10.0</v>
      </c>
      <c r="O44" s="58">
        <f t="shared" si="3"/>
        <v>10</v>
      </c>
      <c r="P44" s="58">
        <v>23.45</v>
      </c>
      <c r="Q44" s="70">
        <v>24.85</v>
      </c>
      <c r="R44" s="58"/>
      <c r="S44" s="70">
        <f t="shared" si="2"/>
        <v>75.97</v>
      </c>
      <c r="T44" s="27">
        <v>76.0</v>
      </c>
      <c r="U44" s="77"/>
    </row>
    <row r="45">
      <c r="C45" s="25">
        <v>2.4341023E7</v>
      </c>
      <c r="D45" s="27" t="s">
        <v>138</v>
      </c>
      <c r="E45" s="27">
        <v>11.0</v>
      </c>
      <c r="F45" s="27">
        <v>15.0</v>
      </c>
      <c r="G45" s="27">
        <v>13.0</v>
      </c>
      <c r="H45" s="27">
        <v>18.5</v>
      </c>
      <c r="I45" s="27">
        <v>10.75</v>
      </c>
      <c r="J45" s="58">
        <f t="shared" si="1"/>
        <v>15.5</v>
      </c>
      <c r="K45" s="27">
        <v>10.0</v>
      </c>
      <c r="L45" s="27">
        <v>10.0</v>
      </c>
      <c r="M45" s="27">
        <v>10.0</v>
      </c>
      <c r="N45" s="27">
        <v>10.0</v>
      </c>
      <c r="O45" s="58">
        <f t="shared" si="3"/>
        <v>10</v>
      </c>
      <c r="P45" s="58">
        <v>21.525</v>
      </c>
      <c r="Q45" s="70">
        <v>18.55</v>
      </c>
      <c r="R45" s="58"/>
      <c r="S45" s="70">
        <f t="shared" si="2"/>
        <v>65.575</v>
      </c>
      <c r="T45" s="27">
        <v>66.0</v>
      </c>
    </row>
    <row r="48">
      <c r="E48" s="9">
        <v>33.0</v>
      </c>
      <c r="H48" s="9">
        <v>29.0</v>
      </c>
      <c r="I48" s="9">
        <v>28.0</v>
      </c>
    </row>
  </sheetData>
  <mergeCells count="1">
    <mergeCell ref="U14:W17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25"/>
    <col customWidth="1" min="5" max="10" width="7.63"/>
    <col customWidth="1" min="11" max="11" width="4.0"/>
    <col customWidth="1" min="12" max="12" width="11.0"/>
    <col customWidth="1" min="13" max="13" width="14.0"/>
    <col hidden="1" min="16" max="16" width="12.63"/>
  </cols>
  <sheetData>
    <row r="5">
      <c r="C5" s="5" t="s">
        <v>5</v>
      </c>
      <c r="D5" s="7" t="s">
        <v>7</v>
      </c>
      <c r="E5" s="12" t="s">
        <v>11</v>
      </c>
      <c r="F5" s="12" t="s">
        <v>15</v>
      </c>
      <c r="G5" s="12" t="s">
        <v>17</v>
      </c>
      <c r="H5" s="12" t="s">
        <v>20</v>
      </c>
      <c r="I5" s="12" t="s">
        <v>24</v>
      </c>
      <c r="J5" s="29" t="s">
        <v>27</v>
      </c>
      <c r="K5" s="12"/>
      <c r="L5" s="12" t="s">
        <v>48</v>
      </c>
      <c r="M5" s="12" t="s">
        <v>50</v>
      </c>
    </row>
    <row r="6">
      <c r="C6" s="32">
        <v>2.2201539E7</v>
      </c>
      <c r="D6" s="33" t="s">
        <v>42</v>
      </c>
      <c r="E6" s="33"/>
      <c r="F6" s="33"/>
      <c r="G6" s="33"/>
      <c r="H6" s="33"/>
      <c r="I6" s="33"/>
      <c r="J6" s="33"/>
      <c r="K6" s="33"/>
      <c r="L6" s="38">
        <f t="shared" ref="L6:L43" si="1">sum(E6:J6)</f>
        <v>0</v>
      </c>
      <c r="M6" s="38">
        <f t="shared" ref="M6:M43" si="2">L6 *(35/50)</f>
        <v>0</v>
      </c>
      <c r="P6" s="44">
        <f t="shared" ref="P6:P43" si="3">G6+H6+J6</f>
        <v>0</v>
      </c>
    </row>
    <row r="7">
      <c r="C7" s="45">
        <v>2.2241014E7</v>
      </c>
      <c r="D7" s="47" t="s">
        <v>86</v>
      </c>
      <c r="E7" s="49">
        <v>4.25</v>
      </c>
      <c r="F7" s="49">
        <v>1.0</v>
      </c>
      <c r="G7" s="49">
        <v>10.0</v>
      </c>
      <c r="H7" s="49">
        <v>10.0</v>
      </c>
      <c r="I7" s="49">
        <v>4.5</v>
      </c>
      <c r="J7" s="49">
        <v>3.5</v>
      </c>
      <c r="K7" s="47"/>
      <c r="L7" s="49">
        <f t="shared" si="1"/>
        <v>33.25</v>
      </c>
      <c r="M7" s="49">
        <f t="shared" si="2"/>
        <v>23.275</v>
      </c>
      <c r="P7" s="44">
        <f t="shared" si="3"/>
        <v>23.5</v>
      </c>
    </row>
    <row r="8">
      <c r="C8" s="32">
        <v>2.2299163E7</v>
      </c>
      <c r="D8" s="33" t="s">
        <v>97</v>
      </c>
      <c r="E8" s="38">
        <v>4.25</v>
      </c>
      <c r="F8" s="38">
        <v>1.0</v>
      </c>
      <c r="G8" s="38">
        <v>10.0</v>
      </c>
      <c r="H8" s="38">
        <v>10.0</v>
      </c>
      <c r="I8" s="38">
        <v>4.5</v>
      </c>
      <c r="J8" s="38">
        <v>4.0</v>
      </c>
      <c r="K8" s="33"/>
      <c r="L8" s="38">
        <f t="shared" si="1"/>
        <v>33.75</v>
      </c>
      <c r="M8" s="38">
        <f t="shared" si="2"/>
        <v>23.625</v>
      </c>
      <c r="P8" s="44">
        <f t="shared" si="3"/>
        <v>24</v>
      </c>
    </row>
    <row r="9">
      <c r="C9" s="45">
        <v>2.3101399E7</v>
      </c>
      <c r="D9" s="47" t="s">
        <v>101</v>
      </c>
      <c r="E9" s="49">
        <v>0.5</v>
      </c>
      <c r="F9" s="49">
        <v>0.0</v>
      </c>
      <c r="G9" s="49">
        <v>0.0</v>
      </c>
      <c r="H9" s="49">
        <v>9.5</v>
      </c>
      <c r="I9" s="49">
        <v>2.5</v>
      </c>
      <c r="J9" s="49">
        <v>1.0</v>
      </c>
      <c r="K9" s="47"/>
      <c r="L9" s="49">
        <f t="shared" si="1"/>
        <v>13.5</v>
      </c>
      <c r="M9" s="49">
        <f t="shared" si="2"/>
        <v>9.45</v>
      </c>
      <c r="P9" s="44">
        <f t="shared" si="3"/>
        <v>10.5</v>
      </c>
    </row>
    <row r="10">
      <c r="C10" s="32">
        <v>2.3201132E7</v>
      </c>
      <c r="D10" s="33" t="s">
        <v>102</v>
      </c>
      <c r="E10" s="52">
        <v>5.0</v>
      </c>
      <c r="F10" s="52">
        <v>2.0</v>
      </c>
      <c r="G10" s="52">
        <v>8.0</v>
      </c>
      <c r="H10" s="52">
        <v>8.0</v>
      </c>
      <c r="I10" s="52">
        <v>5.75</v>
      </c>
      <c r="J10" s="52">
        <v>4.0</v>
      </c>
      <c r="K10" s="33"/>
      <c r="L10" s="38">
        <f t="shared" si="1"/>
        <v>32.75</v>
      </c>
      <c r="M10" s="38">
        <f t="shared" si="2"/>
        <v>22.925</v>
      </c>
      <c r="P10" s="44">
        <f t="shared" si="3"/>
        <v>20</v>
      </c>
    </row>
    <row r="11">
      <c r="C11" s="45">
        <v>2.3201622E7</v>
      </c>
      <c r="D11" s="47" t="s">
        <v>103</v>
      </c>
      <c r="E11" s="49">
        <v>6.0</v>
      </c>
      <c r="F11" s="49">
        <v>1.0</v>
      </c>
      <c r="G11" s="49">
        <v>9.5</v>
      </c>
      <c r="H11" s="49">
        <v>10.0</v>
      </c>
      <c r="I11" s="49">
        <v>2.0</v>
      </c>
      <c r="J11" s="49">
        <v>3.5</v>
      </c>
      <c r="K11" s="47"/>
      <c r="L11" s="49">
        <f t="shared" si="1"/>
        <v>32</v>
      </c>
      <c r="M11" s="49">
        <f t="shared" si="2"/>
        <v>22.4</v>
      </c>
      <c r="P11" s="44">
        <f t="shared" si="3"/>
        <v>23</v>
      </c>
    </row>
    <row r="12">
      <c r="C12" s="32">
        <v>2.4101084E7</v>
      </c>
      <c r="D12" s="33" t="s">
        <v>104</v>
      </c>
      <c r="E12" s="53">
        <v>3.25</v>
      </c>
      <c r="F12" s="53">
        <v>1.0</v>
      </c>
      <c r="G12" s="53">
        <v>9.0</v>
      </c>
      <c r="H12" s="53">
        <v>10.0</v>
      </c>
      <c r="I12" s="53">
        <v>7.0</v>
      </c>
      <c r="J12" s="53">
        <v>1.5</v>
      </c>
      <c r="K12" s="33"/>
      <c r="L12" s="38">
        <f t="shared" si="1"/>
        <v>31.75</v>
      </c>
      <c r="M12" s="38">
        <f t="shared" si="2"/>
        <v>22.225</v>
      </c>
      <c r="P12" s="44">
        <f t="shared" si="3"/>
        <v>20.5</v>
      </c>
    </row>
    <row r="13">
      <c r="C13" s="45">
        <v>2.4101163E7</v>
      </c>
      <c r="D13" s="47" t="s">
        <v>105</v>
      </c>
      <c r="E13" s="49">
        <v>1.75</v>
      </c>
      <c r="F13" s="49">
        <v>3.0</v>
      </c>
      <c r="G13" s="49">
        <v>8.5</v>
      </c>
      <c r="H13" s="49">
        <v>6.0</v>
      </c>
      <c r="I13" s="49">
        <v>2.5</v>
      </c>
      <c r="J13" s="49">
        <v>3.0</v>
      </c>
      <c r="K13" s="47"/>
      <c r="L13" s="49">
        <f t="shared" si="1"/>
        <v>24.75</v>
      </c>
      <c r="M13" s="49">
        <f t="shared" si="2"/>
        <v>17.325</v>
      </c>
      <c r="P13" s="44">
        <f t="shared" si="3"/>
        <v>17.5</v>
      </c>
    </row>
    <row r="14">
      <c r="C14" s="32">
        <v>2.4101223E7</v>
      </c>
      <c r="D14" s="33" t="s">
        <v>106</v>
      </c>
      <c r="E14" s="38">
        <v>6.5</v>
      </c>
      <c r="F14" s="38">
        <v>2.0</v>
      </c>
      <c r="G14" s="38">
        <v>8.0</v>
      </c>
      <c r="H14" s="38">
        <v>2.5</v>
      </c>
      <c r="I14" s="38">
        <v>5.5</v>
      </c>
      <c r="J14" s="38">
        <v>1.5</v>
      </c>
      <c r="K14" s="33"/>
      <c r="L14" s="38">
        <f t="shared" si="1"/>
        <v>26</v>
      </c>
      <c r="M14" s="38">
        <f t="shared" si="2"/>
        <v>18.2</v>
      </c>
      <c r="P14" s="44">
        <f t="shared" si="3"/>
        <v>12</v>
      </c>
    </row>
    <row r="15">
      <c r="C15" s="45">
        <v>2.4101234E7</v>
      </c>
      <c r="D15" s="47" t="s">
        <v>107</v>
      </c>
      <c r="E15" s="49">
        <v>3.0</v>
      </c>
      <c r="F15" s="49">
        <v>1.0</v>
      </c>
      <c r="G15" s="49">
        <v>6.0</v>
      </c>
      <c r="H15" s="49">
        <v>7.0</v>
      </c>
      <c r="I15" s="49">
        <v>1.5</v>
      </c>
      <c r="J15" s="49">
        <v>4.0</v>
      </c>
      <c r="K15" s="47"/>
      <c r="L15" s="49">
        <f t="shared" si="1"/>
        <v>22.5</v>
      </c>
      <c r="M15" s="49">
        <f t="shared" si="2"/>
        <v>15.75</v>
      </c>
      <c r="P15" s="44">
        <f t="shared" si="3"/>
        <v>17</v>
      </c>
    </row>
    <row r="16">
      <c r="C16" s="32">
        <v>2.4101266E7</v>
      </c>
      <c r="D16" s="33" t="s">
        <v>108</v>
      </c>
      <c r="E16" s="53">
        <v>5.5</v>
      </c>
      <c r="F16" s="53">
        <v>4.0</v>
      </c>
      <c r="G16" s="53">
        <v>10.0</v>
      </c>
      <c r="H16" s="53">
        <v>10.0</v>
      </c>
      <c r="I16" s="53">
        <v>6.5</v>
      </c>
      <c r="J16" s="53">
        <v>3.5</v>
      </c>
      <c r="K16" s="33"/>
      <c r="L16" s="54">
        <f t="shared" si="1"/>
        <v>39.5</v>
      </c>
      <c r="M16" s="38">
        <f t="shared" si="2"/>
        <v>27.65</v>
      </c>
      <c r="P16" s="44">
        <f t="shared" si="3"/>
        <v>23.5</v>
      </c>
    </row>
    <row r="17">
      <c r="C17" s="45">
        <v>2.4101278E7</v>
      </c>
      <c r="D17" s="47" t="s">
        <v>109</v>
      </c>
      <c r="E17" s="55">
        <v>4.0</v>
      </c>
      <c r="F17" s="55">
        <v>1.0</v>
      </c>
      <c r="G17" s="55">
        <v>9.5</v>
      </c>
      <c r="H17" s="55">
        <v>10.0</v>
      </c>
      <c r="I17" s="55">
        <v>4.0</v>
      </c>
      <c r="J17" s="55">
        <v>4.0</v>
      </c>
      <c r="K17" s="47"/>
      <c r="L17" s="49">
        <f t="shared" si="1"/>
        <v>32.5</v>
      </c>
      <c r="M17" s="49">
        <f t="shared" si="2"/>
        <v>22.75</v>
      </c>
      <c r="P17" s="44">
        <f t="shared" si="3"/>
        <v>23.5</v>
      </c>
    </row>
    <row r="18">
      <c r="C18" s="32">
        <v>2.410152E7</v>
      </c>
      <c r="D18" s="33" t="s">
        <v>110</v>
      </c>
      <c r="E18" s="38">
        <v>4.75</v>
      </c>
      <c r="F18" s="38">
        <v>1.0</v>
      </c>
      <c r="G18" s="53">
        <v>8.0</v>
      </c>
      <c r="H18" s="38">
        <v>10.0</v>
      </c>
      <c r="I18" s="53">
        <v>7.25</v>
      </c>
      <c r="J18" s="38">
        <v>4.0</v>
      </c>
      <c r="K18" s="33"/>
      <c r="L18" s="38">
        <f t="shared" si="1"/>
        <v>35</v>
      </c>
      <c r="M18" s="38">
        <f t="shared" si="2"/>
        <v>24.5</v>
      </c>
      <c r="P18" s="44">
        <f t="shared" si="3"/>
        <v>22</v>
      </c>
    </row>
    <row r="19">
      <c r="C19" s="45">
        <v>2.4101634E7</v>
      </c>
      <c r="D19" s="47" t="s">
        <v>111</v>
      </c>
      <c r="E19" s="55">
        <v>3.0</v>
      </c>
      <c r="F19" s="55">
        <v>1.0</v>
      </c>
      <c r="G19" s="55">
        <v>8.0</v>
      </c>
      <c r="H19" s="55">
        <v>9.5</v>
      </c>
      <c r="I19" s="55">
        <v>4.0</v>
      </c>
      <c r="J19" s="55">
        <v>2.5</v>
      </c>
      <c r="K19" s="47"/>
      <c r="L19" s="49">
        <f t="shared" si="1"/>
        <v>28</v>
      </c>
      <c r="M19" s="49">
        <f t="shared" si="2"/>
        <v>19.6</v>
      </c>
      <c r="P19" s="44">
        <f t="shared" si="3"/>
        <v>20</v>
      </c>
    </row>
    <row r="20">
      <c r="C20" s="56">
        <v>2.4141002E7</v>
      </c>
      <c r="D20" s="33" t="s">
        <v>112</v>
      </c>
      <c r="E20" s="38">
        <v>4.25</v>
      </c>
      <c r="F20" s="38">
        <v>1.0</v>
      </c>
      <c r="G20" s="38">
        <v>4.0</v>
      </c>
      <c r="H20" s="38">
        <v>10.0</v>
      </c>
      <c r="I20" s="38">
        <v>4.0</v>
      </c>
      <c r="J20" s="38">
        <v>0.5</v>
      </c>
      <c r="K20" s="33"/>
      <c r="L20" s="38">
        <f t="shared" si="1"/>
        <v>23.75</v>
      </c>
      <c r="M20" s="38">
        <f t="shared" si="2"/>
        <v>16.625</v>
      </c>
      <c r="P20" s="44">
        <f t="shared" si="3"/>
        <v>14.5</v>
      </c>
    </row>
    <row r="21">
      <c r="C21" s="45">
        <v>2.4201015E7</v>
      </c>
      <c r="D21" s="47" t="s">
        <v>113</v>
      </c>
      <c r="E21" s="57">
        <v>7.0</v>
      </c>
      <c r="F21" s="57">
        <v>2.0</v>
      </c>
      <c r="G21" s="57">
        <v>7.5</v>
      </c>
      <c r="H21" s="57">
        <v>7.5</v>
      </c>
      <c r="I21" s="57">
        <v>5.5</v>
      </c>
      <c r="J21" s="57">
        <v>1.5</v>
      </c>
      <c r="K21" s="47"/>
      <c r="L21" s="49">
        <f t="shared" si="1"/>
        <v>31</v>
      </c>
      <c r="M21" s="49">
        <f t="shared" si="2"/>
        <v>21.7</v>
      </c>
      <c r="P21" s="44">
        <f t="shared" si="3"/>
        <v>16.5</v>
      </c>
    </row>
    <row r="22">
      <c r="C22" s="32">
        <v>2.4201019E7</v>
      </c>
      <c r="D22" s="33" t="s">
        <v>114</v>
      </c>
      <c r="E22" s="38">
        <v>5.0</v>
      </c>
      <c r="F22" s="38">
        <v>3.0</v>
      </c>
      <c r="G22" s="38">
        <v>8.5</v>
      </c>
      <c r="H22" s="38">
        <v>8.0</v>
      </c>
      <c r="I22" s="38">
        <v>3.0</v>
      </c>
      <c r="J22" s="38">
        <v>3.0</v>
      </c>
      <c r="K22" s="33"/>
      <c r="L22" s="38">
        <f t="shared" si="1"/>
        <v>30.5</v>
      </c>
      <c r="M22" s="38">
        <f t="shared" si="2"/>
        <v>21.35</v>
      </c>
      <c r="P22" s="44">
        <f t="shared" si="3"/>
        <v>19.5</v>
      </c>
    </row>
    <row r="23">
      <c r="C23" s="59">
        <v>2.4201027E7</v>
      </c>
      <c r="D23" s="47" t="s">
        <v>115</v>
      </c>
      <c r="E23" s="49">
        <v>3.25</v>
      </c>
      <c r="F23" s="49">
        <v>0.0</v>
      </c>
      <c r="G23" s="49">
        <v>9.5</v>
      </c>
      <c r="H23" s="49">
        <v>9.5</v>
      </c>
      <c r="I23" s="49">
        <v>4.5</v>
      </c>
      <c r="J23" s="49">
        <v>5.0</v>
      </c>
      <c r="K23" s="47"/>
      <c r="L23" s="49">
        <f t="shared" si="1"/>
        <v>31.75</v>
      </c>
      <c r="M23" s="49">
        <f t="shared" si="2"/>
        <v>22.225</v>
      </c>
      <c r="P23" s="44">
        <f t="shared" si="3"/>
        <v>24</v>
      </c>
    </row>
    <row r="24">
      <c r="C24" s="32">
        <v>2.4201172E7</v>
      </c>
      <c r="D24" s="33" t="s">
        <v>116</v>
      </c>
      <c r="E24" s="38">
        <v>6.0</v>
      </c>
      <c r="F24" s="38">
        <v>4.0</v>
      </c>
      <c r="G24" s="38">
        <v>10.0</v>
      </c>
      <c r="H24" s="38">
        <v>10.0</v>
      </c>
      <c r="I24" s="53">
        <v>4.25</v>
      </c>
      <c r="J24" s="38">
        <v>4.0</v>
      </c>
      <c r="K24" s="33"/>
      <c r="L24" s="54">
        <f t="shared" si="1"/>
        <v>38.25</v>
      </c>
      <c r="M24" s="38">
        <f t="shared" si="2"/>
        <v>26.775</v>
      </c>
      <c r="O24" s="9" t="s">
        <v>117</v>
      </c>
      <c r="P24" s="44">
        <f t="shared" si="3"/>
        <v>24</v>
      </c>
    </row>
    <row r="25">
      <c r="C25" s="45">
        <v>2.4201302E7</v>
      </c>
      <c r="D25" s="47" t="s">
        <v>118</v>
      </c>
      <c r="E25" s="49">
        <v>5.75</v>
      </c>
      <c r="F25" s="49">
        <v>1.0</v>
      </c>
      <c r="G25" s="49">
        <v>8.0</v>
      </c>
      <c r="H25" s="49">
        <v>9.0</v>
      </c>
      <c r="I25" s="49">
        <v>2.75</v>
      </c>
      <c r="J25" s="49">
        <v>2.5</v>
      </c>
      <c r="K25" s="47"/>
      <c r="L25" s="49">
        <f t="shared" si="1"/>
        <v>29</v>
      </c>
      <c r="M25" s="49">
        <f t="shared" si="2"/>
        <v>20.3</v>
      </c>
      <c r="P25" s="44">
        <f t="shared" si="3"/>
        <v>19.5</v>
      </c>
    </row>
    <row r="26">
      <c r="C26" s="32">
        <v>2.4201308E7</v>
      </c>
      <c r="D26" s="33" t="s">
        <v>121</v>
      </c>
      <c r="E26" s="38">
        <v>5.75</v>
      </c>
      <c r="F26" s="38">
        <v>1.0</v>
      </c>
      <c r="G26" s="38">
        <v>9.5</v>
      </c>
      <c r="H26" s="38">
        <v>10.0</v>
      </c>
      <c r="I26" s="38">
        <v>3.25</v>
      </c>
      <c r="J26" s="38">
        <v>4.0</v>
      </c>
      <c r="K26" s="33"/>
      <c r="L26" s="38">
        <f t="shared" si="1"/>
        <v>33.5</v>
      </c>
      <c r="M26" s="38">
        <f t="shared" si="2"/>
        <v>23.45</v>
      </c>
      <c r="P26" s="44">
        <f t="shared" si="3"/>
        <v>23.5</v>
      </c>
    </row>
    <row r="27">
      <c r="C27" s="45">
        <v>2.4201334E7</v>
      </c>
      <c r="D27" s="47" t="s">
        <v>122</v>
      </c>
      <c r="E27" s="49">
        <v>4.0</v>
      </c>
      <c r="F27" s="49">
        <v>0.0</v>
      </c>
      <c r="G27" s="49">
        <v>5.5</v>
      </c>
      <c r="H27" s="49">
        <v>7.5</v>
      </c>
      <c r="I27" s="49">
        <v>6.0</v>
      </c>
      <c r="J27" s="49">
        <v>3.5</v>
      </c>
      <c r="K27" s="47"/>
      <c r="L27" s="49">
        <f t="shared" si="1"/>
        <v>26.5</v>
      </c>
      <c r="M27" s="49">
        <f t="shared" si="2"/>
        <v>18.55</v>
      </c>
      <c r="P27" s="44">
        <f t="shared" si="3"/>
        <v>16.5</v>
      </c>
    </row>
    <row r="28">
      <c r="C28" s="32">
        <v>2.4201361E7</v>
      </c>
      <c r="D28" s="33" t="s">
        <v>123</v>
      </c>
      <c r="E28" s="38">
        <v>8.5</v>
      </c>
      <c r="F28" s="38">
        <v>1.0</v>
      </c>
      <c r="G28" s="38">
        <v>8.5</v>
      </c>
      <c r="H28" s="38">
        <v>10.0</v>
      </c>
      <c r="I28" s="38">
        <v>7.5</v>
      </c>
      <c r="J28" s="38">
        <v>3.5</v>
      </c>
      <c r="K28" s="33"/>
      <c r="L28" s="54">
        <f t="shared" si="1"/>
        <v>39</v>
      </c>
      <c r="M28" s="38">
        <f t="shared" si="2"/>
        <v>27.3</v>
      </c>
      <c r="P28" s="44">
        <f t="shared" si="3"/>
        <v>22</v>
      </c>
    </row>
    <row r="29">
      <c r="C29" s="45">
        <v>2.4201437E7</v>
      </c>
      <c r="D29" s="47" t="s">
        <v>124</v>
      </c>
      <c r="E29" s="55">
        <v>3.25</v>
      </c>
      <c r="F29" s="55">
        <v>3.0</v>
      </c>
      <c r="G29" s="55">
        <v>9.0</v>
      </c>
      <c r="H29" s="55">
        <v>6.0</v>
      </c>
      <c r="I29" s="55">
        <v>2.5</v>
      </c>
      <c r="J29" s="55">
        <v>3.0</v>
      </c>
      <c r="K29" s="47"/>
      <c r="L29" s="49">
        <f t="shared" si="1"/>
        <v>26.75</v>
      </c>
      <c r="M29" s="49">
        <f t="shared" si="2"/>
        <v>18.725</v>
      </c>
      <c r="P29" s="44">
        <f t="shared" si="3"/>
        <v>18</v>
      </c>
    </row>
    <row r="30">
      <c r="C30" s="32">
        <v>2.4201456E7</v>
      </c>
      <c r="D30" s="33" t="s">
        <v>125</v>
      </c>
      <c r="E30" s="53">
        <v>0.5</v>
      </c>
      <c r="F30" s="53">
        <v>0.0</v>
      </c>
      <c r="G30" s="53">
        <v>9.0</v>
      </c>
      <c r="H30" s="53">
        <v>9.5</v>
      </c>
      <c r="I30" s="53">
        <v>1.5</v>
      </c>
      <c r="J30" s="53">
        <v>2.5</v>
      </c>
      <c r="K30" s="33"/>
      <c r="L30" s="38">
        <f t="shared" si="1"/>
        <v>23</v>
      </c>
      <c r="M30" s="38">
        <f t="shared" si="2"/>
        <v>16.1</v>
      </c>
      <c r="P30" s="44">
        <f t="shared" si="3"/>
        <v>21</v>
      </c>
    </row>
    <row r="31">
      <c r="C31" s="45">
        <v>2.4301066E7</v>
      </c>
      <c r="D31" s="47" t="s">
        <v>126</v>
      </c>
      <c r="E31" s="55">
        <v>8.25</v>
      </c>
      <c r="F31" s="49">
        <v>1.0</v>
      </c>
      <c r="G31" s="49">
        <v>10.0</v>
      </c>
      <c r="H31" s="49">
        <v>10.0</v>
      </c>
      <c r="I31" s="55">
        <v>7.0</v>
      </c>
      <c r="J31" s="55">
        <v>3.0</v>
      </c>
      <c r="K31" s="47"/>
      <c r="L31" s="54">
        <f t="shared" si="1"/>
        <v>39.25</v>
      </c>
      <c r="M31" s="49">
        <f t="shared" si="2"/>
        <v>27.475</v>
      </c>
      <c r="P31" s="44">
        <f t="shared" si="3"/>
        <v>23</v>
      </c>
    </row>
    <row r="32">
      <c r="C32" s="32">
        <v>2.4301073E7</v>
      </c>
      <c r="D32" s="33" t="s">
        <v>127</v>
      </c>
      <c r="E32" s="52">
        <v>1.5</v>
      </c>
      <c r="F32" s="52">
        <v>1.0</v>
      </c>
      <c r="G32" s="52">
        <v>8.5</v>
      </c>
      <c r="H32" s="52">
        <v>8.5</v>
      </c>
      <c r="I32" s="52">
        <v>1.5</v>
      </c>
      <c r="J32" s="52">
        <v>3.5</v>
      </c>
      <c r="K32" s="33"/>
      <c r="L32" s="38">
        <f t="shared" si="1"/>
        <v>24.5</v>
      </c>
      <c r="M32" s="38">
        <f t="shared" si="2"/>
        <v>17.15</v>
      </c>
      <c r="P32" s="44">
        <f t="shared" si="3"/>
        <v>20.5</v>
      </c>
    </row>
    <row r="33">
      <c r="C33" s="45">
        <v>2.4301173E7</v>
      </c>
      <c r="D33" s="47" t="s">
        <v>128</v>
      </c>
      <c r="E33" s="63">
        <v>5.5</v>
      </c>
      <c r="F33" s="63">
        <v>1.0</v>
      </c>
      <c r="G33" s="63">
        <v>9.0</v>
      </c>
      <c r="H33" s="63">
        <v>10.0</v>
      </c>
      <c r="I33" s="63">
        <v>6.25</v>
      </c>
      <c r="J33" s="63">
        <v>4.0</v>
      </c>
      <c r="K33" s="47"/>
      <c r="L33" s="49">
        <f t="shared" si="1"/>
        <v>35.75</v>
      </c>
      <c r="M33" s="49">
        <f t="shared" si="2"/>
        <v>25.025</v>
      </c>
      <c r="P33" s="44">
        <f t="shared" si="3"/>
        <v>23</v>
      </c>
    </row>
    <row r="34">
      <c r="C34" s="32">
        <v>2.4301181E7</v>
      </c>
      <c r="D34" s="33" t="s">
        <v>129</v>
      </c>
      <c r="E34" s="38">
        <v>5.75</v>
      </c>
      <c r="F34" s="38">
        <v>1.0</v>
      </c>
      <c r="G34" s="38">
        <v>7.0</v>
      </c>
      <c r="H34" s="38">
        <v>8.0</v>
      </c>
      <c r="I34" s="38">
        <v>4.5</v>
      </c>
      <c r="J34" s="38">
        <v>1.5</v>
      </c>
      <c r="K34" s="33"/>
      <c r="L34" s="38">
        <f t="shared" si="1"/>
        <v>27.75</v>
      </c>
      <c r="M34" s="38">
        <f t="shared" si="2"/>
        <v>19.425</v>
      </c>
      <c r="P34" s="44">
        <f t="shared" si="3"/>
        <v>16.5</v>
      </c>
    </row>
    <row r="35">
      <c r="C35" s="45">
        <v>2.4301244E7</v>
      </c>
      <c r="D35" s="47" t="s">
        <v>130</v>
      </c>
      <c r="E35" s="49">
        <v>6.5</v>
      </c>
      <c r="F35" s="49">
        <v>2.0</v>
      </c>
      <c r="G35" s="49">
        <v>9.5</v>
      </c>
      <c r="H35" s="49">
        <v>10.0</v>
      </c>
      <c r="I35" s="49">
        <v>8.5</v>
      </c>
      <c r="J35" s="49">
        <v>2.5</v>
      </c>
      <c r="K35" s="47"/>
      <c r="L35" s="54">
        <f t="shared" si="1"/>
        <v>39</v>
      </c>
      <c r="M35" s="49">
        <f t="shared" si="2"/>
        <v>27.3</v>
      </c>
      <c r="P35" s="44">
        <f t="shared" si="3"/>
        <v>22</v>
      </c>
    </row>
    <row r="36">
      <c r="C36" s="32">
        <v>2.4301305E7</v>
      </c>
      <c r="D36" s="33" t="s">
        <v>131</v>
      </c>
      <c r="E36" s="38">
        <v>1.75</v>
      </c>
      <c r="F36" s="38">
        <v>0.0</v>
      </c>
      <c r="G36" s="38">
        <v>5.0</v>
      </c>
      <c r="H36" s="38">
        <v>10.0</v>
      </c>
      <c r="I36" s="38">
        <v>6.0</v>
      </c>
      <c r="J36" s="38">
        <v>2.5</v>
      </c>
      <c r="K36" s="33"/>
      <c r="L36" s="38">
        <f t="shared" si="1"/>
        <v>25.25</v>
      </c>
      <c r="M36" s="38">
        <f t="shared" si="2"/>
        <v>17.675</v>
      </c>
      <c r="P36" s="44">
        <f t="shared" si="3"/>
        <v>17.5</v>
      </c>
    </row>
    <row r="37">
      <c r="C37" s="45">
        <v>2.4301372E7</v>
      </c>
      <c r="D37" s="47" t="s">
        <v>132</v>
      </c>
      <c r="E37" s="55">
        <v>8.75</v>
      </c>
      <c r="F37" s="55">
        <v>3.0</v>
      </c>
      <c r="G37" s="55">
        <v>9.0</v>
      </c>
      <c r="H37" s="55">
        <v>9.0</v>
      </c>
      <c r="I37" s="55">
        <v>8.5</v>
      </c>
      <c r="J37" s="55">
        <v>3.5</v>
      </c>
      <c r="K37" s="47"/>
      <c r="L37" s="54">
        <f t="shared" si="1"/>
        <v>41.75</v>
      </c>
      <c r="M37" s="49">
        <f t="shared" si="2"/>
        <v>29.225</v>
      </c>
      <c r="P37" s="44">
        <f t="shared" si="3"/>
        <v>21.5</v>
      </c>
    </row>
    <row r="38">
      <c r="C38" s="32">
        <v>2.4301388E7</v>
      </c>
      <c r="D38" s="33" t="s">
        <v>133</v>
      </c>
      <c r="E38" s="38">
        <v>6.25</v>
      </c>
      <c r="F38" s="38">
        <v>3.0</v>
      </c>
      <c r="G38" s="38">
        <v>9.5</v>
      </c>
      <c r="H38" s="38">
        <v>10.0</v>
      </c>
      <c r="I38" s="53">
        <v>3.5</v>
      </c>
      <c r="J38" s="38">
        <v>4.0</v>
      </c>
      <c r="K38" s="33"/>
      <c r="L38" s="54">
        <f t="shared" si="1"/>
        <v>36.25</v>
      </c>
      <c r="M38" s="38">
        <f t="shared" si="2"/>
        <v>25.375</v>
      </c>
      <c r="P38" s="44">
        <f t="shared" si="3"/>
        <v>23.5</v>
      </c>
    </row>
    <row r="39">
      <c r="C39" s="45">
        <v>2.430147E7</v>
      </c>
      <c r="D39" s="47" t="s">
        <v>134</v>
      </c>
      <c r="E39" s="49">
        <v>6.0</v>
      </c>
      <c r="F39" s="49">
        <v>2.0</v>
      </c>
      <c r="G39" s="49">
        <v>9.5</v>
      </c>
      <c r="H39" s="49">
        <v>10.0</v>
      </c>
      <c r="I39" s="49">
        <v>4.5</v>
      </c>
      <c r="J39" s="49">
        <v>1.5</v>
      </c>
      <c r="K39" s="47"/>
      <c r="L39" s="49">
        <f t="shared" si="1"/>
        <v>33.5</v>
      </c>
      <c r="M39" s="49">
        <f t="shared" si="2"/>
        <v>23.45</v>
      </c>
      <c r="P39" s="44">
        <f t="shared" si="3"/>
        <v>21</v>
      </c>
    </row>
    <row r="40">
      <c r="C40" s="32">
        <v>2.4301506E7</v>
      </c>
      <c r="D40" s="33" t="s">
        <v>135</v>
      </c>
      <c r="E40" s="53">
        <v>8.25</v>
      </c>
      <c r="F40" s="53">
        <v>2.0</v>
      </c>
      <c r="G40" s="53">
        <v>9.5</v>
      </c>
      <c r="H40" s="53">
        <v>10.0</v>
      </c>
      <c r="I40" s="53">
        <v>4.0</v>
      </c>
      <c r="J40" s="53">
        <v>5.0</v>
      </c>
      <c r="K40" s="33"/>
      <c r="L40" s="54">
        <f t="shared" si="1"/>
        <v>38.75</v>
      </c>
      <c r="M40" s="38">
        <f t="shared" si="2"/>
        <v>27.125</v>
      </c>
      <c r="P40" s="44">
        <f t="shared" si="3"/>
        <v>24.5</v>
      </c>
    </row>
    <row r="41">
      <c r="C41" s="45">
        <v>2.4321222E7</v>
      </c>
      <c r="D41" s="47" t="s">
        <v>136</v>
      </c>
      <c r="E41" s="63">
        <v>5.25</v>
      </c>
      <c r="F41" s="63">
        <v>1.0</v>
      </c>
      <c r="G41" s="63">
        <v>9.5</v>
      </c>
      <c r="H41" s="63">
        <v>10.0</v>
      </c>
      <c r="I41" s="63">
        <v>6.0</v>
      </c>
      <c r="J41" s="63">
        <v>4.5</v>
      </c>
      <c r="K41" s="47"/>
      <c r="L41" s="49">
        <f t="shared" si="1"/>
        <v>36.25</v>
      </c>
      <c r="M41" s="49">
        <f t="shared" si="2"/>
        <v>25.375</v>
      </c>
      <c r="P41" s="44">
        <f t="shared" si="3"/>
        <v>24</v>
      </c>
    </row>
    <row r="42">
      <c r="C42" s="32">
        <v>2.4321245E7</v>
      </c>
      <c r="D42" s="33" t="s">
        <v>137</v>
      </c>
      <c r="E42" s="38">
        <v>2.75</v>
      </c>
      <c r="F42" s="38">
        <v>2.5</v>
      </c>
      <c r="G42" s="38">
        <v>9.5</v>
      </c>
      <c r="H42" s="38">
        <v>10.0</v>
      </c>
      <c r="I42" s="38">
        <v>5.25</v>
      </c>
      <c r="J42" s="38">
        <v>3.5</v>
      </c>
      <c r="K42" s="33"/>
      <c r="L42" s="38">
        <f t="shared" si="1"/>
        <v>33.5</v>
      </c>
      <c r="M42" s="38">
        <f t="shared" si="2"/>
        <v>23.45</v>
      </c>
      <c r="P42" s="44">
        <f t="shared" si="3"/>
        <v>23</v>
      </c>
    </row>
    <row r="43">
      <c r="C43" s="45">
        <v>2.4341023E7</v>
      </c>
      <c r="D43" s="47" t="s">
        <v>138</v>
      </c>
      <c r="E43" s="49">
        <v>1.75</v>
      </c>
      <c r="F43" s="49">
        <v>2.5</v>
      </c>
      <c r="G43" s="49">
        <v>9.5</v>
      </c>
      <c r="H43" s="49">
        <v>10.0</v>
      </c>
      <c r="I43" s="49">
        <v>3.0</v>
      </c>
      <c r="J43" s="49">
        <v>4.0</v>
      </c>
      <c r="K43" s="47"/>
      <c r="L43" s="49">
        <f t="shared" si="1"/>
        <v>30.75</v>
      </c>
      <c r="M43" s="49">
        <f t="shared" si="2"/>
        <v>21.525</v>
      </c>
      <c r="P43" s="44">
        <f t="shared" si="3"/>
        <v>23.5</v>
      </c>
    </row>
  </sheetData>
  <conditionalFormatting sqref="P6:P43">
    <cfRule type="cellIs" dxfId="3" priority="1" operator="greaterThanOrEqual">
      <formula>20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88"/>
  </cols>
  <sheetData>
    <row r="5">
      <c r="B5" s="2" t="s">
        <v>5</v>
      </c>
      <c r="C5" s="2" t="s">
        <v>7</v>
      </c>
      <c r="D5" s="12" t="s">
        <v>139</v>
      </c>
      <c r="E5" s="12" t="s">
        <v>140</v>
      </c>
      <c r="F5" s="12" t="s">
        <v>17</v>
      </c>
      <c r="G5" s="12" t="s">
        <v>20</v>
      </c>
      <c r="H5" s="12" t="s">
        <v>141</v>
      </c>
      <c r="I5" s="12" t="s">
        <v>142</v>
      </c>
      <c r="J5" s="12" t="s">
        <v>143</v>
      </c>
      <c r="K5" s="2"/>
      <c r="L5" s="12" t="s">
        <v>48</v>
      </c>
      <c r="M5" s="65" t="s">
        <v>144</v>
      </c>
    </row>
    <row r="6">
      <c r="B6" s="32">
        <v>2.2201539E7</v>
      </c>
      <c r="C6" s="33" t="s">
        <v>42</v>
      </c>
      <c r="D6" s="38"/>
      <c r="E6" s="38"/>
      <c r="F6" s="38"/>
      <c r="G6" s="38"/>
      <c r="H6" s="38"/>
      <c r="I6" s="38"/>
      <c r="J6" s="33"/>
      <c r="K6" s="33"/>
      <c r="L6" s="33">
        <f t="shared" ref="L6:L43" si="1">D6+E6+F6+G6+H6+I6+J6</f>
        <v>0</v>
      </c>
      <c r="M6" s="67">
        <f t="shared" ref="M6:M43" si="2">(L6 * 35)/50</f>
        <v>0</v>
      </c>
    </row>
    <row r="7">
      <c r="B7" s="45">
        <v>2.2241014E7</v>
      </c>
      <c r="C7" s="47" t="s">
        <v>86</v>
      </c>
      <c r="D7" s="47"/>
      <c r="E7" s="47"/>
      <c r="F7" s="47"/>
      <c r="G7" s="47"/>
      <c r="H7" s="47"/>
      <c r="I7" s="47"/>
      <c r="J7" s="47"/>
      <c r="K7" s="47"/>
      <c r="L7" s="47">
        <f t="shared" si="1"/>
        <v>0</v>
      </c>
      <c r="M7" s="68">
        <f t="shared" si="2"/>
        <v>0</v>
      </c>
    </row>
    <row r="8">
      <c r="B8" s="32">
        <v>2.2299163E7</v>
      </c>
      <c r="C8" s="33" t="s">
        <v>97</v>
      </c>
      <c r="D8" s="38"/>
      <c r="E8" s="38"/>
      <c r="F8" s="38"/>
      <c r="G8" s="38"/>
      <c r="H8" s="38"/>
      <c r="I8" s="38"/>
      <c r="J8" s="33"/>
      <c r="K8" s="33"/>
      <c r="L8" s="33">
        <f t="shared" si="1"/>
        <v>0</v>
      </c>
      <c r="M8" s="67">
        <f t="shared" si="2"/>
        <v>0</v>
      </c>
    </row>
    <row r="9">
      <c r="B9" s="45">
        <v>2.3101399E7</v>
      </c>
      <c r="C9" s="47" t="s">
        <v>101</v>
      </c>
      <c r="D9" s="55">
        <v>2.0</v>
      </c>
      <c r="E9" s="55">
        <v>0.0</v>
      </c>
      <c r="F9" s="55">
        <v>9.5</v>
      </c>
      <c r="G9" s="55">
        <v>0.0</v>
      </c>
      <c r="H9" s="55">
        <v>0.0</v>
      </c>
      <c r="I9" s="55">
        <v>0.0</v>
      </c>
      <c r="J9" s="47"/>
      <c r="K9" s="47"/>
      <c r="L9" s="47">
        <f t="shared" si="1"/>
        <v>11.5</v>
      </c>
      <c r="M9" s="68">
        <f t="shared" si="2"/>
        <v>8.05</v>
      </c>
    </row>
    <row r="10">
      <c r="B10" s="32">
        <v>2.3201132E7</v>
      </c>
      <c r="C10" s="33" t="s">
        <v>102</v>
      </c>
      <c r="D10" s="53">
        <v>0.0</v>
      </c>
      <c r="E10" s="53">
        <v>2.5</v>
      </c>
      <c r="F10" s="53">
        <v>9.0</v>
      </c>
      <c r="G10" s="53">
        <v>1.0</v>
      </c>
      <c r="H10" s="53">
        <v>2.0</v>
      </c>
      <c r="I10" s="53">
        <v>4.0</v>
      </c>
      <c r="J10" s="33"/>
      <c r="K10" s="33"/>
      <c r="L10" s="33">
        <f t="shared" si="1"/>
        <v>18.5</v>
      </c>
      <c r="M10" s="67">
        <f t="shared" si="2"/>
        <v>12.95</v>
      </c>
    </row>
    <row r="11">
      <c r="B11" s="45">
        <v>2.3201622E7</v>
      </c>
      <c r="C11" s="47" t="s">
        <v>103</v>
      </c>
      <c r="D11" s="55">
        <v>4.0</v>
      </c>
      <c r="E11" s="55">
        <v>4.0</v>
      </c>
      <c r="F11" s="55">
        <v>10.0</v>
      </c>
      <c r="G11" s="55">
        <v>10.0</v>
      </c>
      <c r="H11" s="55">
        <v>2.25</v>
      </c>
      <c r="I11" s="55">
        <v>7.0</v>
      </c>
      <c r="J11" s="47"/>
      <c r="K11" s="47"/>
      <c r="L11" s="47">
        <f t="shared" si="1"/>
        <v>37.25</v>
      </c>
      <c r="M11" s="68">
        <f t="shared" si="2"/>
        <v>26.075</v>
      </c>
    </row>
    <row r="12">
      <c r="B12" s="32">
        <v>2.4101084E7</v>
      </c>
      <c r="C12" s="33" t="s">
        <v>104</v>
      </c>
      <c r="D12" s="38"/>
      <c r="E12" s="38"/>
      <c r="F12" s="38"/>
      <c r="G12" s="38"/>
      <c r="H12" s="38"/>
      <c r="I12" s="38"/>
      <c r="J12" s="33"/>
      <c r="K12" s="33"/>
      <c r="L12" s="33">
        <f t="shared" si="1"/>
        <v>0</v>
      </c>
      <c r="M12" s="67">
        <f t="shared" si="2"/>
        <v>0</v>
      </c>
    </row>
    <row r="13">
      <c r="B13" s="45">
        <v>2.4101163E7</v>
      </c>
      <c r="C13" s="47" t="s">
        <v>105</v>
      </c>
      <c r="D13" s="63">
        <v>0.0</v>
      </c>
      <c r="E13" s="63">
        <v>1.0</v>
      </c>
      <c r="F13" s="63">
        <v>10.0</v>
      </c>
      <c r="G13" s="63">
        <v>2.5</v>
      </c>
      <c r="H13" s="63">
        <v>1.25</v>
      </c>
      <c r="I13" s="63">
        <v>2.0</v>
      </c>
      <c r="J13" s="47"/>
      <c r="K13" s="47"/>
      <c r="L13" s="47">
        <f t="shared" si="1"/>
        <v>16.75</v>
      </c>
      <c r="M13" s="68">
        <f t="shared" si="2"/>
        <v>11.725</v>
      </c>
    </row>
    <row r="14">
      <c r="B14" s="32">
        <v>2.4101223E7</v>
      </c>
      <c r="C14" s="33" t="s">
        <v>106</v>
      </c>
      <c r="D14" s="52">
        <v>0.0</v>
      </c>
      <c r="E14" s="52">
        <v>3.0</v>
      </c>
      <c r="F14" s="52">
        <v>9.0</v>
      </c>
      <c r="G14" s="52">
        <v>1.0</v>
      </c>
      <c r="H14" s="52">
        <v>2.25</v>
      </c>
      <c r="I14" s="52">
        <v>2.5</v>
      </c>
      <c r="J14" s="52">
        <v>1.0</v>
      </c>
      <c r="K14" s="33"/>
      <c r="L14" s="33">
        <f t="shared" si="1"/>
        <v>18.75</v>
      </c>
      <c r="M14" s="67">
        <f t="shared" si="2"/>
        <v>13.125</v>
      </c>
    </row>
    <row r="15">
      <c r="B15" s="45">
        <v>2.4101234E7</v>
      </c>
      <c r="C15" s="47" t="s">
        <v>107</v>
      </c>
      <c r="D15" s="55">
        <v>0.5</v>
      </c>
      <c r="E15" s="55">
        <v>5.0</v>
      </c>
      <c r="F15" s="55">
        <v>9.0</v>
      </c>
      <c r="G15" s="55">
        <v>5.5</v>
      </c>
      <c r="H15" s="55">
        <v>1.25</v>
      </c>
      <c r="I15" s="55">
        <v>1.5</v>
      </c>
      <c r="J15" s="47"/>
      <c r="K15" s="47"/>
      <c r="L15" s="47">
        <f t="shared" si="1"/>
        <v>22.75</v>
      </c>
      <c r="M15" s="68">
        <f t="shared" si="2"/>
        <v>15.925</v>
      </c>
    </row>
    <row r="16">
      <c r="B16" s="32">
        <v>2.4101266E7</v>
      </c>
      <c r="C16" s="33" t="s">
        <v>108</v>
      </c>
      <c r="D16" s="52">
        <v>5.0</v>
      </c>
      <c r="E16" s="52">
        <v>8.0</v>
      </c>
      <c r="F16" s="52">
        <v>9.5</v>
      </c>
      <c r="G16" s="52">
        <v>6.0</v>
      </c>
      <c r="H16" s="52">
        <v>4.0</v>
      </c>
      <c r="I16" s="52">
        <v>6.5</v>
      </c>
      <c r="J16" s="33"/>
      <c r="K16" s="33"/>
      <c r="L16" s="33">
        <f t="shared" si="1"/>
        <v>39</v>
      </c>
      <c r="M16" s="67">
        <f t="shared" si="2"/>
        <v>27.3</v>
      </c>
    </row>
    <row r="17">
      <c r="B17" s="45">
        <v>2.4101278E7</v>
      </c>
      <c r="C17" s="47" t="s">
        <v>109</v>
      </c>
      <c r="D17" s="55">
        <v>3.0</v>
      </c>
      <c r="E17" s="55">
        <v>7.5</v>
      </c>
      <c r="F17" s="55">
        <v>7.0</v>
      </c>
      <c r="G17" s="55">
        <v>6.0</v>
      </c>
      <c r="H17" s="55">
        <v>3.0</v>
      </c>
      <c r="I17" s="55">
        <v>4.0</v>
      </c>
      <c r="J17" s="47"/>
      <c r="K17" s="47"/>
      <c r="L17" s="47">
        <f t="shared" si="1"/>
        <v>30.5</v>
      </c>
      <c r="M17" s="68">
        <f t="shared" si="2"/>
        <v>21.35</v>
      </c>
    </row>
    <row r="18">
      <c r="B18" s="32">
        <v>2.410152E7</v>
      </c>
      <c r="C18" s="33" t="s">
        <v>110</v>
      </c>
      <c r="D18" s="53">
        <v>2.0</v>
      </c>
      <c r="E18" s="53">
        <v>3.5</v>
      </c>
      <c r="F18" s="53">
        <v>9.0</v>
      </c>
      <c r="G18" s="53">
        <v>7.5</v>
      </c>
      <c r="H18" s="53">
        <v>2.0</v>
      </c>
      <c r="I18" s="53">
        <v>2.5</v>
      </c>
      <c r="J18" s="33"/>
      <c r="K18" s="33"/>
      <c r="L18" s="33">
        <f t="shared" si="1"/>
        <v>26.5</v>
      </c>
      <c r="M18" s="67">
        <f t="shared" si="2"/>
        <v>18.55</v>
      </c>
    </row>
    <row r="19">
      <c r="B19" s="45">
        <v>2.4101634E7</v>
      </c>
      <c r="C19" s="47" t="s">
        <v>111</v>
      </c>
      <c r="D19" s="55">
        <v>0.0</v>
      </c>
      <c r="E19" s="55">
        <v>5.0</v>
      </c>
      <c r="F19" s="55">
        <v>8.0</v>
      </c>
      <c r="G19" s="55">
        <v>7.0</v>
      </c>
      <c r="H19" s="55">
        <v>1.25</v>
      </c>
      <c r="I19" s="55">
        <v>2.0</v>
      </c>
      <c r="J19" s="47"/>
      <c r="K19" s="47"/>
      <c r="L19" s="47">
        <f t="shared" si="1"/>
        <v>23.25</v>
      </c>
      <c r="M19" s="68">
        <f t="shared" si="2"/>
        <v>16.275</v>
      </c>
    </row>
    <row r="20">
      <c r="B20" s="56">
        <v>2.4141002E7</v>
      </c>
      <c r="C20" s="33" t="s">
        <v>112</v>
      </c>
      <c r="D20" s="53">
        <v>1.5</v>
      </c>
      <c r="E20" s="53">
        <v>6.0</v>
      </c>
      <c r="F20" s="53">
        <v>10.0</v>
      </c>
      <c r="G20" s="53">
        <v>3.0</v>
      </c>
      <c r="H20" s="53">
        <v>2.0</v>
      </c>
      <c r="I20" s="53">
        <v>7.0</v>
      </c>
      <c r="J20" s="33"/>
      <c r="K20" s="33"/>
      <c r="L20" s="33">
        <f t="shared" si="1"/>
        <v>29.5</v>
      </c>
      <c r="M20" s="67">
        <f t="shared" si="2"/>
        <v>20.65</v>
      </c>
    </row>
    <row r="21">
      <c r="B21" s="45">
        <v>2.4201015E7</v>
      </c>
      <c r="C21" s="47" t="s">
        <v>113</v>
      </c>
      <c r="D21" s="55">
        <v>1.0</v>
      </c>
      <c r="E21" s="55">
        <v>7.5</v>
      </c>
      <c r="F21" s="55">
        <v>10.0</v>
      </c>
      <c r="G21" s="55">
        <v>9.5</v>
      </c>
      <c r="H21" s="55">
        <v>2.0</v>
      </c>
      <c r="I21" s="55">
        <v>6.5</v>
      </c>
      <c r="J21" s="47"/>
      <c r="K21" s="47"/>
      <c r="L21" s="47">
        <f t="shared" si="1"/>
        <v>36.5</v>
      </c>
      <c r="M21" s="68">
        <f t="shared" si="2"/>
        <v>25.55</v>
      </c>
    </row>
    <row r="22">
      <c r="B22" s="32">
        <v>2.4201019E7</v>
      </c>
      <c r="C22" s="33" t="s">
        <v>114</v>
      </c>
      <c r="D22" s="53">
        <v>3.0</v>
      </c>
      <c r="E22" s="53">
        <v>5.0</v>
      </c>
      <c r="F22" s="53">
        <v>9.5</v>
      </c>
      <c r="G22" s="53">
        <v>1.5</v>
      </c>
      <c r="H22" s="53">
        <v>1.25</v>
      </c>
      <c r="I22" s="53">
        <v>5.0</v>
      </c>
      <c r="J22" s="33"/>
      <c r="K22" s="33"/>
      <c r="L22" s="33">
        <f t="shared" si="1"/>
        <v>25.25</v>
      </c>
      <c r="M22" s="67">
        <f t="shared" si="2"/>
        <v>17.675</v>
      </c>
    </row>
    <row r="23">
      <c r="B23" s="59">
        <v>2.4201027E7</v>
      </c>
      <c r="C23" s="47" t="s">
        <v>115</v>
      </c>
      <c r="D23" s="55">
        <v>3.0</v>
      </c>
      <c r="E23" s="55">
        <v>2.0</v>
      </c>
      <c r="F23" s="55">
        <v>10.0</v>
      </c>
      <c r="G23" s="55">
        <v>0.0</v>
      </c>
      <c r="H23" s="55">
        <v>2.0</v>
      </c>
      <c r="I23" s="55">
        <v>2.5</v>
      </c>
      <c r="J23" s="47"/>
      <c r="K23" s="47"/>
      <c r="L23" s="47">
        <f t="shared" si="1"/>
        <v>19.5</v>
      </c>
      <c r="M23" s="68">
        <f t="shared" si="2"/>
        <v>13.65</v>
      </c>
    </row>
    <row r="24">
      <c r="B24" s="32">
        <v>2.4201172E7</v>
      </c>
      <c r="C24" s="33" t="s">
        <v>116</v>
      </c>
      <c r="D24" s="53">
        <v>5.0</v>
      </c>
      <c r="E24" s="53">
        <v>8.5</v>
      </c>
      <c r="F24" s="53">
        <v>10.0</v>
      </c>
      <c r="G24" s="53">
        <v>10.0</v>
      </c>
      <c r="H24" s="53">
        <v>2.0</v>
      </c>
      <c r="I24" s="53">
        <v>7.0</v>
      </c>
      <c r="J24" s="33"/>
      <c r="K24" s="33"/>
      <c r="L24" s="33">
        <f t="shared" si="1"/>
        <v>42.5</v>
      </c>
      <c r="M24" s="67">
        <f t="shared" si="2"/>
        <v>29.75</v>
      </c>
    </row>
    <row r="25">
      <c r="B25" s="45">
        <v>2.4201302E7</v>
      </c>
      <c r="C25" s="47" t="s">
        <v>118</v>
      </c>
      <c r="D25" s="55">
        <v>4.5</v>
      </c>
      <c r="E25" s="55">
        <v>4.5</v>
      </c>
      <c r="F25" s="55">
        <v>8.5</v>
      </c>
      <c r="G25" s="55">
        <v>6.0</v>
      </c>
      <c r="H25" s="55">
        <v>1.0</v>
      </c>
      <c r="I25" s="55">
        <v>3.5</v>
      </c>
      <c r="J25" s="47"/>
      <c r="K25" s="47"/>
      <c r="L25" s="47">
        <f t="shared" si="1"/>
        <v>28</v>
      </c>
      <c r="M25" s="68">
        <f t="shared" si="2"/>
        <v>19.6</v>
      </c>
    </row>
    <row r="26">
      <c r="B26" s="32">
        <v>2.4201308E7</v>
      </c>
      <c r="C26" s="33" t="s">
        <v>121</v>
      </c>
      <c r="D26" s="53">
        <v>5.0</v>
      </c>
      <c r="E26" s="53">
        <v>5.5</v>
      </c>
      <c r="F26" s="53">
        <v>9.0</v>
      </c>
      <c r="G26" s="53">
        <v>6.75</v>
      </c>
      <c r="H26" s="53">
        <v>2.25</v>
      </c>
      <c r="I26" s="53">
        <v>6.0</v>
      </c>
      <c r="J26" s="33"/>
      <c r="K26" s="33"/>
      <c r="L26" s="33">
        <f t="shared" si="1"/>
        <v>34.5</v>
      </c>
      <c r="M26" s="67">
        <f t="shared" si="2"/>
        <v>24.15</v>
      </c>
    </row>
    <row r="27">
      <c r="B27" s="45">
        <v>2.4201334E7</v>
      </c>
      <c r="C27" s="47" t="s">
        <v>122</v>
      </c>
      <c r="D27" s="55">
        <v>1.0</v>
      </c>
      <c r="E27" s="55">
        <v>4.5</v>
      </c>
      <c r="F27" s="55">
        <v>9.0</v>
      </c>
      <c r="G27" s="55">
        <v>8.0</v>
      </c>
      <c r="H27" s="55">
        <v>2.0</v>
      </c>
      <c r="I27" s="55">
        <v>4.75</v>
      </c>
      <c r="J27" s="49"/>
      <c r="K27" s="47"/>
      <c r="L27" s="47">
        <f t="shared" si="1"/>
        <v>29.25</v>
      </c>
      <c r="M27" s="68">
        <f t="shared" si="2"/>
        <v>20.475</v>
      </c>
    </row>
    <row r="28">
      <c r="B28" s="32">
        <v>2.4201361E7</v>
      </c>
      <c r="C28" s="33" t="s">
        <v>123</v>
      </c>
      <c r="D28" s="53">
        <v>1.0</v>
      </c>
      <c r="E28" s="53">
        <v>6.5</v>
      </c>
      <c r="F28" s="53">
        <v>9.5</v>
      </c>
      <c r="G28" s="53">
        <v>10.0</v>
      </c>
      <c r="H28" s="53">
        <v>3.0</v>
      </c>
      <c r="I28" s="53">
        <v>7.0</v>
      </c>
      <c r="J28" s="33"/>
      <c r="K28" s="33"/>
      <c r="L28" s="33">
        <f t="shared" si="1"/>
        <v>37</v>
      </c>
      <c r="M28" s="67">
        <f t="shared" si="2"/>
        <v>25.9</v>
      </c>
    </row>
    <row r="29">
      <c r="B29" s="45">
        <v>2.4201437E7</v>
      </c>
      <c r="C29" s="47" t="s">
        <v>124</v>
      </c>
      <c r="D29" s="55">
        <v>5.0</v>
      </c>
      <c r="E29" s="55">
        <v>4.5</v>
      </c>
      <c r="F29" s="55">
        <v>10.0</v>
      </c>
      <c r="G29" s="55">
        <v>7.5</v>
      </c>
      <c r="H29" s="55">
        <v>3.25</v>
      </c>
      <c r="I29" s="55">
        <v>8.5</v>
      </c>
      <c r="J29" s="47"/>
      <c r="K29" s="47"/>
      <c r="L29" s="47">
        <f t="shared" si="1"/>
        <v>38.75</v>
      </c>
      <c r="M29" s="68">
        <f t="shared" si="2"/>
        <v>27.125</v>
      </c>
    </row>
    <row r="30">
      <c r="B30" s="32">
        <v>2.4201456E7</v>
      </c>
      <c r="C30" s="33" t="s">
        <v>125</v>
      </c>
      <c r="D30" s="53">
        <v>0.0</v>
      </c>
      <c r="E30" s="53">
        <v>1.0</v>
      </c>
      <c r="F30" s="53">
        <v>9.0</v>
      </c>
      <c r="G30" s="53">
        <v>1.0</v>
      </c>
      <c r="H30" s="53">
        <v>1.0</v>
      </c>
      <c r="I30" s="53">
        <v>5.0</v>
      </c>
      <c r="J30" s="33"/>
      <c r="K30" s="33"/>
      <c r="L30" s="33">
        <f t="shared" si="1"/>
        <v>17</v>
      </c>
      <c r="M30" s="67">
        <f t="shared" si="2"/>
        <v>11.9</v>
      </c>
    </row>
    <row r="31">
      <c r="B31" s="45">
        <v>2.4301066E7</v>
      </c>
      <c r="C31" s="47" t="s">
        <v>126</v>
      </c>
      <c r="D31" s="55">
        <v>4.0</v>
      </c>
      <c r="E31" s="55">
        <v>8.5</v>
      </c>
      <c r="F31" s="55">
        <v>10.0</v>
      </c>
      <c r="G31" s="55">
        <v>8.5</v>
      </c>
      <c r="H31" s="55">
        <v>2.25</v>
      </c>
      <c r="I31" s="55">
        <v>8.5</v>
      </c>
      <c r="J31" s="47"/>
      <c r="K31" s="47"/>
      <c r="L31" s="47">
        <f t="shared" si="1"/>
        <v>41.75</v>
      </c>
      <c r="M31" s="68">
        <f t="shared" si="2"/>
        <v>29.225</v>
      </c>
    </row>
    <row r="32">
      <c r="B32" s="32">
        <v>2.4301073E7</v>
      </c>
      <c r="C32" s="33" t="s">
        <v>127</v>
      </c>
      <c r="D32" s="53">
        <v>4.0</v>
      </c>
      <c r="E32" s="53">
        <v>8.5</v>
      </c>
      <c r="F32" s="53">
        <v>9.0</v>
      </c>
      <c r="G32" s="53">
        <v>6.5</v>
      </c>
      <c r="H32" s="53">
        <v>1.25</v>
      </c>
      <c r="I32" s="53">
        <v>5.0</v>
      </c>
      <c r="J32" s="33"/>
      <c r="K32" s="33"/>
      <c r="L32" s="33">
        <f t="shared" si="1"/>
        <v>34.25</v>
      </c>
      <c r="M32" s="67">
        <f t="shared" si="2"/>
        <v>23.975</v>
      </c>
    </row>
    <row r="33">
      <c r="B33" s="45">
        <v>2.4301173E7</v>
      </c>
      <c r="C33" s="47" t="s">
        <v>128</v>
      </c>
      <c r="D33" s="55">
        <v>1.0</v>
      </c>
      <c r="E33" s="55">
        <v>6.0</v>
      </c>
      <c r="F33" s="55">
        <v>10.0</v>
      </c>
      <c r="G33" s="55">
        <v>10.0</v>
      </c>
      <c r="H33" s="55">
        <v>1.25</v>
      </c>
      <c r="I33" s="55">
        <v>5.5</v>
      </c>
      <c r="J33" s="47"/>
      <c r="K33" s="47"/>
      <c r="L33" s="47">
        <f t="shared" si="1"/>
        <v>33.75</v>
      </c>
      <c r="M33" s="68">
        <f t="shared" si="2"/>
        <v>23.625</v>
      </c>
    </row>
    <row r="34">
      <c r="B34" s="32">
        <v>2.4301181E7</v>
      </c>
      <c r="C34" s="33" t="s">
        <v>129</v>
      </c>
      <c r="D34" s="53">
        <v>1.5</v>
      </c>
      <c r="E34" s="53">
        <v>6.0</v>
      </c>
      <c r="F34" s="53">
        <v>9.0</v>
      </c>
      <c r="G34" s="53">
        <v>4.5</v>
      </c>
      <c r="H34" s="53">
        <v>1.5</v>
      </c>
      <c r="I34" s="53">
        <v>1.5</v>
      </c>
      <c r="J34" s="33"/>
      <c r="K34" s="33"/>
      <c r="L34" s="33">
        <f t="shared" si="1"/>
        <v>24</v>
      </c>
      <c r="M34" s="67">
        <f t="shared" si="2"/>
        <v>16.8</v>
      </c>
    </row>
    <row r="35">
      <c r="B35" s="45">
        <v>2.4301244E7</v>
      </c>
      <c r="C35" s="47" t="s">
        <v>130</v>
      </c>
      <c r="D35" s="55">
        <v>1.0</v>
      </c>
      <c r="E35" s="55">
        <v>5.0</v>
      </c>
      <c r="F35" s="55">
        <v>8.0</v>
      </c>
      <c r="G35" s="55">
        <v>6.0</v>
      </c>
      <c r="H35" s="55">
        <v>4.0</v>
      </c>
      <c r="I35" s="55">
        <v>6.5</v>
      </c>
      <c r="J35" s="47"/>
      <c r="K35" s="47"/>
      <c r="L35" s="47">
        <f t="shared" si="1"/>
        <v>30.5</v>
      </c>
      <c r="M35" s="68">
        <f t="shared" si="2"/>
        <v>21.35</v>
      </c>
    </row>
    <row r="36">
      <c r="B36" s="32">
        <v>2.4301305E7</v>
      </c>
      <c r="C36" s="33" t="s">
        <v>131</v>
      </c>
      <c r="D36" s="53">
        <v>1.0</v>
      </c>
      <c r="E36" s="53">
        <v>5.0</v>
      </c>
      <c r="F36" s="53">
        <v>10.0</v>
      </c>
      <c r="G36" s="53">
        <v>7.0</v>
      </c>
      <c r="H36" s="53">
        <v>0.5</v>
      </c>
      <c r="I36" s="53">
        <v>2.5</v>
      </c>
      <c r="J36" s="33"/>
      <c r="K36" s="33"/>
      <c r="L36" s="33">
        <f t="shared" si="1"/>
        <v>26</v>
      </c>
      <c r="M36" s="67">
        <f t="shared" si="2"/>
        <v>18.2</v>
      </c>
    </row>
    <row r="37">
      <c r="B37" s="45">
        <v>2.4301372E7</v>
      </c>
      <c r="C37" s="47" t="s">
        <v>132</v>
      </c>
      <c r="D37" s="55">
        <v>4.5</v>
      </c>
      <c r="E37" s="55">
        <v>7.0</v>
      </c>
      <c r="F37" s="55">
        <v>10.0</v>
      </c>
      <c r="G37" s="55">
        <v>10.0</v>
      </c>
      <c r="H37" s="55">
        <v>3.25</v>
      </c>
      <c r="I37" s="55">
        <v>6.75</v>
      </c>
      <c r="J37" s="47"/>
      <c r="K37" s="47"/>
      <c r="L37" s="47">
        <f t="shared" si="1"/>
        <v>41.5</v>
      </c>
      <c r="M37" s="68">
        <f t="shared" si="2"/>
        <v>29.05</v>
      </c>
    </row>
    <row r="38">
      <c r="B38" s="32">
        <v>2.4301388E7</v>
      </c>
      <c r="C38" s="33" t="s">
        <v>133</v>
      </c>
      <c r="D38" s="53">
        <v>4.0</v>
      </c>
      <c r="E38" s="53">
        <v>6.0</v>
      </c>
      <c r="F38" s="53">
        <v>10.0</v>
      </c>
      <c r="G38" s="53">
        <v>10.0</v>
      </c>
      <c r="H38" s="53">
        <v>2.5</v>
      </c>
      <c r="I38" s="53">
        <v>6.0</v>
      </c>
      <c r="J38" s="33"/>
      <c r="K38" s="33"/>
      <c r="L38" s="33">
        <f t="shared" si="1"/>
        <v>38.5</v>
      </c>
      <c r="M38" s="67">
        <f t="shared" si="2"/>
        <v>26.95</v>
      </c>
    </row>
    <row r="39">
      <c r="B39" s="45">
        <v>2.430147E7</v>
      </c>
      <c r="C39" s="47" t="s">
        <v>134</v>
      </c>
      <c r="D39" s="55">
        <v>5.0</v>
      </c>
      <c r="E39" s="55">
        <v>6.0</v>
      </c>
      <c r="F39" s="55">
        <v>10.0</v>
      </c>
      <c r="G39" s="55">
        <v>9.5</v>
      </c>
      <c r="H39" s="55">
        <v>2.0</v>
      </c>
      <c r="I39" s="55">
        <v>5.0</v>
      </c>
      <c r="J39" s="47"/>
      <c r="K39" s="47"/>
      <c r="L39" s="47">
        <f t="shared" si="1"/>
        <v>37.5</v>
      </c>
      <c r="M39" s="68">
        <f t="shared" si="2"/>
        <v>26.25</v>
      </c>
    </row>
    <row r="40">
      <c r="B40" s="32">
        <v>2.4301506E7</v>
      </c>
      <c r="C40" s="33" t="s">
        <v>135</v>
      </c>
      <c r="D40" s="53">
        <v>5.0</v>
      </c>
      <c r="E40" s="53">
        <v>7.0</v>
      </c>
      <c r="F40" s="53">
        <v>10.0</v>
      </c>
      <c r="G40" s="53">
        <v>8.5</v>
      </c>
      <c r="H40" s="53">
        <v>3.0</v>
      </c>
      <c r="I40" s="53">
        <v>8.0</v>
      </c>
      <c r="J40" s="33"/>
      <c r="K40" s="33"/>
      <c r="L40" s="33">
        <f t="shared" si="1"/>
        <v>41.5</v>
      </c>
      <c r="M40" s="67">
        <f t="shared" si="2"/>
        <v>29.05</v>
      </c>
    </row>
    <row r="41">
      <c r="B41" s="45">
        <v>2.4321222E7</v>
      </c>
      <c r="C41" s="47" t="s">
        <v>136</v>
      </c>
      <c r="D41" s="55">
        <v>4.0</v>
      </c>
      <c r="E41" s="55">
        <v>7.0</v>
      </c>
      <c r="F41" s="55">
        <v>10.0</v>
      </c>
      <c r="G41" s="55">
        <v>6.0</v>
      </c>
      <c r="H41" s="55">
        <v>3.25</v>
      </c>
      <c r="I41" s="55">
        <v>4.0</v>
      </c>
      <c r="J41" s="47"/>
      <c r="K41" s="47"/>
      <c r="L41" s="47">
        <f t="shared" si="1"/>
        <v>34.25</v>
      </c>
      <c r="M41" s="68">
        <f t="shared" si="2"/>
        <v>23.975</v>
      </c>
    </row>
    <row r="42">
      <c r="B42" s="32">
        <v>2.4321245E7</v>
      </c>
      <c r="C42" s="33" t="s">
        <v>137</v>
      </c>
      <c r="D42" s="53">
        <v>4.0</v>
      </c>
      <c r="E42" s="53">
        <v>4.0</v>
      </c>
      <c r="F42" s="53">
        <v>10.0</v>
      </c>
      <c r="G42" s="53">
        <v>7.5</v>
      </c>
      <c r="H42" s="53">
        <v>2.0</v>
      </c>
      <c r="I42" s="53">
        <v>7.0</v>
      </c>
      <c r="J42" s="52">
        <v>1.0</v>
      </c>
      <c r="K42" s="33"/>
      <c r="L42" s="33">
        <f t="shared" si="1"/>
        <v>35.5</v>
      </c>
      <c r="M42" s="67">
        <f t="shared" si="2"/>
        <v>24.85</v>
      </c>
    </row>
    <row r="43">
      <c r="B43" s="45">
        <v>2.4341023E7</v>
      </c>
      <c r="C43" s="47" t="s">
        <v>138</v>
      </c>
      <c r="D43" s="55">
        <v>2.0</v>
      </c>
      <c r="E43" s="55">
        <v>5.0</v>
      </c>
      <c r="F43" s="55">
        <v>10.0</v>
      </c>
      <c r="G43" s="55">
        <v>5.5</v>
      </c>
      <c r="H43" s="55">
        <v>1.0</v>
      </c>
      <c r="I43" s="55">
        <v>3.0</v>
      </c>
      <c r="J43" s="47"/>
      <c r="K43" s="47"/>
      <c r="L43" s="47">
        <f t="shared" si="1"/>
        <v>26.5</v>
      </c>
      <c r="M43" s="68">
        <f t="shared" si="2"/>
        <v>18.55</v>
      </c>
    </row>
    <row r="44">
      <c r="B44" s="38"/>
      <c r="C44" s="33"/>
      <c r="D44" s="38"/>
      <c r="E44" s="38"/>
      <c r="F44" s="38"/>
      <c r="G44" s="38"/>
      <c r="H44" s="38"/>
      <c r="I44" s="38"/>
      <c r="J44" s="33"/>
      <c r="K44" s="33"/>
      <c r="L44" s="33"/>
      <c r="M44" s="67"/>
    </row>
  </sheetData>
  <drawing r:id="rId1"/>
  <tableParts count="1">
    <tablePart r:id="rId3"/>
  </tableParts>
</worksheet>
</file>