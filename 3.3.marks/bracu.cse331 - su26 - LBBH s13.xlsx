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ester Planner" sheetId="1" r:id="rId5"/>
    <sheet state="visible" name="Attd" sheetId="2" r:id="rId6"/>
    <sheet state="visible" name="Marks" sheetId="3" r:id="rId7"/>
    <sheet state="visible" name="Mid" sheetId="4" r:id="rId8"/>
    <sheet state="visible" name="Final" sheetId="5" r:id="rId9"/>
  </sheets>
  <definedNames/>
  <calcPr/>
</workbook>
</file>

<file path=xl/sharedStrings.xml><?xml version="1.0" encoding="utf-8"?>
<sst xmlns="http://schemas.openxmlformats.org/spreadsheetml/2006/main" count="521" uniqueCount="185">
  <si>
    <t>Consultation Timing (@4N136)</t>
  </si>
  <si>
    <t>Monday:</t>
  </si>
  <si>
    <t xml:space="preserve"> 9:30 am to  11 am</t>
  </si>
  <si>
    <t>Tuesday:</t>
  </si>
  <si>
    <t>Q1</t>
  </si>
  <si>
    <r>
      <rPr>
        <rFont val="Arial"/>
        <b/>
        <color theme="1"/>
        <u/>
      </rPr>
      <t>Marks Distribution</t>
    </r>
    <r>
      <rPr>
        <rFont val="Arial"/>
        <b/>
        <color theme="1"/>
      </rPr>
      <t xml:space="preserve">
Assignment [Avg of all the assignment]
Quiz [Best 3 out of 4]
Midterm
Final</t>
    </r>
  </si>
  <si>
    <t xml:space="preserve">
10%
20%
35%
35%</t>
  </si>
  <si>
    <t>Student ID</t>
  </si>
  <si>
    <t>Thursday:</t>
  </si>
  <si>
    <t xml:space="preserve"> 11:00 am to  12 30 pm</t>
  </si>
  <si>
    <t>Name</t>
  </si>
  <si>
    <t>18-06</t>
  </si>
  <si>
    <t>Saturday:</t>
  </si>
  <si>
    <t>20-06</t>
  </si>
  <si>
    <t>25-06</t>
  </si>
  <si>
    <t xml:space="preserve">Date </t>
  </si>
  <si>
    <t>Total Absent</t>
  </si>
  <si>
    <t xml:space="preserve">Week </t>
  </si>
  <si>
    <t>20101090</t>
  </si>
  <si>
    <t xml:space="preserve">Quiz </t>
  </si>
  <si>
    <t>Assignment</t>
  </si>
  <si>
    <t>Topics Covered</t>
  </si>
  <si>
    <t>Rupanti Alam</t>
  </si>
  <si>
    <t>A</t>
  </si>
  <si>
    <t>11-Jun (Thursday)</t>
  </si>
  <si>
    <t>Intro + Language, String, Alphabet &amp; Language</t>
  </si>
  <si>
    <t>13-Jun (Saturday)</t>
  </si>
  <si>
    <t xml:space="preserve">DFA 1 : Intro </t>
  </si>
  <si>
    <t>18-Jun (Thursday)</t>
  </si>
  <si>
    <t>DFA 2</t>
  </si>
  <si>
    <t>20-Jun  (Saturday)</t>
  </si>
  <si>
    <t>DFA3 &amp; Cross product Rule</t>
  </si>
  <si>
    <t>25-Jun (Thursday)</t>
  </si>
  <si>
    <t>NFA 1 : Intro</t>
  </si>
  <si>
    <t>27-Jun  (Saturday)</t>
  </si>
  <si>
    <t>NFA 2 &amp; NFA to DFA</t>
  </si>
  <si>
    <t>02-July (Thursday)</t>
  </si>
  <si>
    <t>Regular Language and Regular Expression</t>
  </si>
  <si>
    <t>04-July  (Saturday)</t>
  </si>
  <si>
    <t xml:space="preserve">Regex 2 &amp; </t>
  </si>
  <si>
    <t>09-July (Thursday)</t>
  </si>
  <si>
    <t>Quiz 1 (L1,L2)</t>
  </si>
  <si>
    <t>Assignment 1 Deadline</t>
  </si>
  <si>
    <t xml:space="preserve">Q1 </t>
  </si>
  <si>
    <t>11-July  (Saturday)</t>
  </si>
  <si>
    <t>Q2</t>
  </si>
  <si>
    <t>Q3</t>
  </si>
  <si>
    <t>Reg. Operation,RegEx to  NFA &amp; DFA to RegEx</t>
  </si>
  <si>
    <t>Q4</t>
  </si>
  <si>
    <t>16-July (Thursday)</t>
  </si>
  <si>
    <t>Quiz 2 (L3 &amp; L4)</t>
  </si>
  <si>
    <t>Q5</t>
  </si>
  <si>
    <t>Assignment 2 Deadline</t>
  </si>
  <si>
    <t>18-July  (Saturday)</t>
  </si>
  <si>
    <t>1(10)</t>
  </si>
  <si>
    <t>Non Regular Language, Pumping Lemma</t>
  </si>
  <si>
    <t>23-July (Thursday)</t>
  </si>
  <si>
    <t>Quiz (20)</t>
  </si>
  <si>
    <t>2(5)</t>
  </si>
  <si>
    <t>3(10)</t>
  </si>
  <si>
    <t>4(10)</t>
  </si>
  <si>
    <t>Q/A session</t>
  </si>
  <si>
    <t>5(10)</t>
  </si>
  <si>
    <t>6(5)</t>
  </si>
  <si>
    <t>21101287</t>
  </si>
  <si>
    <t>MID WEEK</t>
  </si>
  <si>
    <t xml:space="preserve">A1 </t>
  </si>
  <si>
    <t>Total (50)</t>
  </si>
  <si>
    <t>A2</t>
  </si>
  <si>
    <t>A3</t>
  </si>
  <si>
    <t>A4</t>
  </si>
  <si>
    <t>Md. Zubayer Hassan</t>
  </si>
  <si>
    <t>Assg(10)</t>
  </si>
  <si>
    <t>Conv. Total (35)</t>
  </si>
  <si>
    <t>Mid [35]</t>
  </si>
  <si>
    <t>L5: Pumping Lemma</t>
  </si>
  <si>
    <t>Pg  77 - 81</t>
  </si>
  <si>
    <t>22201061</t>
  </si>
  <si>
    <t>Sadia Afroz Asha</t>
  </si>
  <si>
    <t>L6: CFG</t>
  </si>
  <si>
    <t>Pg 102 - 108</t>
  </si>
  <si>
    <t>13/8/26</t>
  </si>
  <si>
    <t>22201985</t>
  </si>
  <si>
    <t>Md.Tawahidul Islam Abir</t>
  </si>
  <si>
    <t>22299374</t>
  </si>
  <si>
    <t>15/8/26</t>
  </si>
  <si>
    <t>L7: PDA 1</t>
  </si>
  <si>
    <t>Pg 111 - 124</t>
  </si>
  <si>
    <t>20/8/26</t>
  </si>
  <si>
    <t>Quiz 3 (L5,L6)</t>
  </si>
  <si>
    <t>Assignment 3 Deadline</t>
  </si>
  <si>
    <t>Online Class</t>
  </si>
  <si>
    <t>L7: PDA 2</t>
  </si>
  <si>
    <t>22/8/26</t>
  </si>
  <si>
    <t>L8: TM 1</t>
  </si>
  <si>
    <t>Notes Folder. Book: 165-182,  193-210, 215 - 238</t>
  </si>
  <si>
    <t>27/8/26</t>
  </si>
  <si>
    <t>Shahed Ahmad Shihab</t>
  </si>
  <si>
    <t>L8: TM 2</t>
  </si>
  <si>
    <t>29/8/26</t>
  </si>
  <si>
    <t>L8: TM 3</t>
  </si>
  <si>
    <t>L8: TM 4</t>
  </si>
  <si>
    <t>Quiz 4 (L7 &amp; L8)</t>
  </si>
  <si>
    <t>Assignment 4 Deadline</t>
  </si>
  <si>
    <t>22301430</t>
  </si>
  <si>
    <t>Md Farhan</t>
  </si>
  <si>
    <t>Final [35]</t>
  </si>
  <si>
    <t>Total [100]</t>
  </si>
  <si>
    <t>Submitted To Connect</t>
  </si>
  <si>
    <t>22301590</t>
  </si>
  <si>
    <t>Fahim Shahriar Nur</t>
  </si>
  <si>
    <t>22301681</t>
  </si>
  <si>
    <t>Wasif Farhad Mahir</t>
  </si>
  <si>
    <t>23101322</t>
  </si>
  <si>
    <t>Hm Muid</t>
  </si>
  <si>
    <t>23201623</t>
  </si>
  <si>
    <t>S.M. Abrar Shaleheen</t>
  </si>
  <si>
    <t>23241015</t>
  </si>
  <si>
    <t>Zawwad Ali Shah Ha-Mim</t>
  </si>
  <si>
    <t>23301214</t>
  </si>
  <si>
    <t>Samara Shahjeen Huq</t>
  </si>
  <si>
    <t>24101240</t>
  </si>
  <si>
    <t>Sami Hassan Chowdhury</t>
  </si>
  <si>
    <t>24101271</t>
  </si>
  <si>
    <t>Anirban Saha Arko</t>
  </si>
  <si>
    <t>24101344</t>
  </si>
  <si>
    <t>Talha Mahareeb Sadman</t>
  </si>
  <si>
    <t>24121034</t>
  </si>
  <si>
    <t>Muhammad Saleh Al-Mahdi</t>
  </si>
  <si>
    <t>24141057</t>
  </si>
  <si>
    <t>Muntafid Islam Nafsi</t>
  </si>
  <si>
    <t>24301059</t>
  </si>
  <si>
    <t>Ishfak Mahbub Samin</t>
  </si>
  <si>
    <t>24301080</t>
  </si>
  <si>
    <t>Saima Binte Ghani</t>
  </si>
  <si>
    <t>24301141</t>
  </si>
  <si>
    <t>Araf Hanin</t>
  </si>
  <si>
    <t>N</t>
  </si>
  <si>
    <t>24301278</t>
  </si>
  <si>
    <t>Readowanul Haque Sajid</t>
  </si>
  <si>
    <t>24301283</t>
  </si>
  <si>
    <t>Tashfiqul Islam</t>
  </si>
  <si>
    <t>24301288</t>
  </si>
  <si>
    <t>Rukaiya Fozilat</t>
  </si>
  <si>
    <t>24301320</t>
  </si>
  <si>
    <t>Md Rafi Hasan</t>
  </si>
  <si>
    <t>24301357</t>
  </si>
  <si>
    <t>Mohammad Asif Imtiaz</t>
  </si>
  <si>
    <t>24301403</t>
  </si>
  <si>
    <t>Sudipa Kundu Chaity</t>
  </si>
  <si>
    <t>24301413</t>
  </si>
  <si>
    <t>Mushfiq Sajeed Hossain</t>
  </si>
  <si>
    <t>24301457</t>
  </si>
  <si>
    <t>Syed Owin Efaz</t>
  </si>
  <si>
    <t>24301467</t>
  </si>
  <si>
    <t>Auria Rahman</t>
  </si>
  <si>
    <t>24301485</t>
  </si>
  <si>
    <t>Taufiq Mustafizur Rahman</t>
  </si>
  <si>
    <t>24301504</t>
  </si>
  <si>
    <t>Sadia Rahman</t>
  </si>
  <si>
    <t>24301508</t>
  </si>
  <si>
    <t>Lubaba Anjum</t>
  </si>
  <si>
    <t>24301527</t>
  </si>
  <si>
    <t>Nafis Muntasir</t>
  </si>
  <si>
    <t>24301557</t>
  </si>
  <si>
    <t>Kazi Md. Wasif Ahnaf</t>
  </si>
  <si>
    <t>24321205</t>
  </si>
  <si>
    <t>Sneha Angelina Rozario</t>
  </si>
  <si>
    <t>24341008</t>
  </si>
  <si>
    <t>A H M Faisal Mahbub</t>
  </si>
  <si>
    <t>24341017</t>
  </si>
  <si>
    <t>S. M. Tahmidul Hoque</t>
  </si>
  <si>
    <t>24341041</t>
  </si>
  <si>
    <t>Fairuz Imam</t>
  </si>
  <si>
    <t>24341053</t>
  </si>
  <si>
    <t>Anthony Basel Gomes</t>
  </si>
  <si>
    <t>ABSENT</t>
  </si>
  <si>
    <t>1(5)</t>
  </si>
  <si>
    <t xml:space="preserve">Auto Grade Up by 1 marks, so if you get 89, you automatically get 90.     Mark is only increased from quiz and assignment. </t>
  </si>
  <si>
    <t>2(10)</t>
  </si>
  <si>
    <t>a</t>
  </si>
  <si>
    <t>5(5)</t>
  </si>
  <si>
    <t>6(10)</t>
  </si>
  <si>
    <t>7 Bonus(7)</t>
  </si>
  <si>
    <t>Total (35)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</si>
</sst>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$&quot;#,##0.00"/>
    <numFmt numFmtId="165" formatCode="mm-dd"/>
    <numFmt numFmtId="166" formatCode="m-d"/>
    <numFmt numFmtId="167" formatCode="m/d/yy"/>
    <numFmt numFmtId="168" formatCode="mm/dd/yyyy"/>
    <numFmt numFmtId="169" formatCode="mm/dd/yy"/>
  </numFmts>
  <fonts count="1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21.0"/>
      <color theme="1"/>
      <name val="Lexend"/>
    </font>
    <font>
      <sz val="15.0"/>
      <color theme="1"/>
      <name val="Georgia"/>
    </font>
    <font>
      <b/>
      <color theme="1"/>
      <name val="Arial"/>
    </font>
    <font>
      <b/>
      <sz val="11.0"/>
      <color theme="1"/>
      <name val="Lexend"/>
    </font>
    <font>
      <sz val="26.0"/>
      <color theme="1"/>
      <name val="Oswald"/>
    </font>
    <font>
      <sz val="11.0"/>
      <color theme="1"/>
      <name val="Arial"/>
    </font>
    <font>
      <sz val="13.0"/>
      <color theme="1"/>
      <name val="Oswald"/>
    </font>
    <font>
      <b/>
      <sz val="12.0"/>
      <color theme="1"/>
      <name val="Lexend"/>
    </font>
    <font>
      <b/>
      <sz val="12.0"/>
      <color theme="1"/>
      <name val="Arial"/>
    </font>
    <font>
      <sz val="10.0"/>
      <color rgb="FF000000"/>
      <name val="Arial"/>
    </font>
    <font>
      <b/>
      <sz val="29.0"/>
      <color theme="1"/>
      <name val="Lexend"/>
    </font>
    <font>
      <b/>
      <color theme="1"/>
      <name val="Lexend"/>
    </font>
    <font>
      <color rgb="FFFF0000"/>
      <name val="Arial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A2C4C9"/>
        <bgColor rgb="FFA2C4C9"/>
      </patternFill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46BDC6"/>
        <bgColor rgb="FF46BDC6"/>
      </patternFill>
    </fill>
    <fill>
      <patternFill patternType="solid">
        <fgColor rgb="FF6D9EEB"/>
        <bgColor rgb="FF6D9EEB"/>
      </patternFill>
    </fill>
    <fill>
      <patternFill patternType="solid">
        <fgColor rgb="FFFF9900"/>
        <bgColor rgb="FFFF9900"/>
      </patternFill>
    </fill>
    <fill>
      <patternFill patternType="solid">
        <fgColor rgb="FFF4CCCC"/>
        <bgColor rgb="FFF4CCCC"/>
      </patternFill>
    </fill>
    <fill>
      <patternFill patternType="solid">
        <fgColor rgb="FF9900FF"/>
        <bgColor rgb="FF9900FF"/>
      </patternFill>
    </fill>
    <fill>
      <patternFill patternType="solid">
        <fgColor rgb="FF93C47D"/>
        <bgColor rgb="FF93C47D"/>
      </patternFill>
    </fill>
    <fill>
      <patternFill patternType="solid">
        <fgColor rgb="FFE0F7FA"/>
        <bgColor rgb="FFE0F7FA"/>
      </patternFill>
    </fill>
    <fill>
      <patternFill patternType="solid">
        <fgColor rgb="FFB4A7D6"/>
        <bgColor rgb="FFB4A7D6"/>
      </patternFill>
    </fill>
    <fill>
      <patternFill patternType="solid">
        <fgColor rgb="FFB7E1CD"/>
        <bgColor rgb="FFB7E1CD"/>
      </patternFill>
    </fill>
    <fill>
      <patternFill patternType="solid">
        <fgColor rgb="FFB7B7B7"/>
        <bgColor rgb="FFB7B7B7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9FC5E8"/>
        <bgColor rgb="FF9FC5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vertical="bottom"/>
    </xf>
    <xf borderId="0" fillId="2" fontId="3" numFmtId="0" xfId="0" applyAlignment="1" applyFill="1" applyFont="1">
      <alignment shrinkToFit="0" vertical="bottom" wrapText="1"/>
    </xf>
    <xf borderId="0" fillId="0" fontId="4" numFmtId="0" xfId="0" applyAlignment="1" applyFont="1">
      <alignment vertical="bottom"/>
    </xf>
    <xf borderId="0" fillId="3" fontId="5" numFmtId="164" xfId="0" applyAlignment="1" applyFill="1" applyFont="1" applyNumberFormat="1">
      <alignment vertical="bottom"/>
    </xf>
    <xf borderId="0" fillId="4" fontId="6" numFmtId="0" xfId="0" applyAlignment="1" applyFill="1" applyFont="1">
      <alignment horizontal="center" vertical="bottom"/>
    </xf>
    <xf borderId="0" fillId="4" fontId="2" numFmtId="0" xfId="0" applyAlignment="1" applyFill="1" applyFont="1">
      <alignment vertical="bottom"/>
    </xf>
    <xf borderId="0" fillId="4" fontId="1" numFmtId="0" xfId="0" applyAlignment="1" applyFill="1" applyFont="1">
      <alignment horizontal="center"/>
    </xf>
    <xf borderId="0" fillId="4" fontId="2" numFmtId="165" xfId="0" applyAlignment="1" applyFill="1" applyFont="1" applyNumberFormat="1">
      <alignment horizontal="right" vertical="bottom"/>
    </xf>
    <xf borderId="0" fillId="4" fontId="1" numFmtId="166" xfId="0" applyAlignment="1" applyFill="1" applyFont="1" applyNumberFormat="1">
      <alignment horizontal="center" readingOrder="0"/>
    </xf>
    <xf borderId="0" fillId="5" fontId="7" numFmtId="0" xfId="0" applyAlignment="1" applyFill="1" applyFont="1">
      <alignment vertical="bottom"/>
    </xf>
    <xf borderId="1" fillId="0" fontId="2" numFmtId="49" xfId="0" applyAlignment="1" applyBorder="1" applyFont="1" applyNumberFormat="1">
      <alignment vertical="bottom"/>
    </xf>
    <xf borderId="1" fillId="6" fontId="2" numFmtId="49" xfId="0" applyAlignment="1" applyBorder="1" applyFill="1" applyFont="1" applyNumberFormat="1">
      <alignment vertical="bottom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8" numFmtId="0" xfId="0" applyAlignment="1" applyFont="1">
      <alignment horizontal="center" vertical="bottom"/>
    </xf>
    <xf borderId="0" fillId="0" fontId="8" numFmtId="0" xfId="0" applyAlignment="1" applyFont="1">
      <alignment horizontal="right"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0" fontId="6" numFmtId="0" xfId="0" applyAlignment="1" applyFont="1">
      <alignment horizontal="center" vertical="bottom"/>
    </xf>
    <xf borderId="0" fillId="7" fontId="9" numFmtId="0" xfId="0" applyAlignment="1" applyFill="1" applyFont="1">
      <alignment horizontal="center" vertical="bottom"/>
    </xf>
    <xf borderId="0" fillId="8" fontId="9" numFmtId="0" xfId="0" applyAlignment="1" applyFill="1" applyFont="1">
      <alignment horizontal="center" vertical="bottom"/>
    </xf>
    <xf borderId="0" fillId="4" fontId="10" numFmtId="0" xfId="0" applyAlignment="1" applyFill="1" applyFont="1">
      <alignment horizontal="center" vertical="bottom"/>
    </xf>
    <xf borderId="0" fillId="4" fontId="6" numFmtId="0" xfId="0" applyAlignment="1" applyFill="1" applyFont="1">
      <alignment horizontal="center" readingOrder="0" vertical="bottom"/>
    </xf>
    <xf borderId="0" fillId="4" fontId="11" numFmtId="0" xfId="0" applyAlignment="1" applyFill="1" applyFont="1">
      <alignment vertical="bottom"/>
    </xf>
    <xf borderId="0" fillId="0" fontId="1" numFmtId="0" xfId="0" applyFont="1"/>
    <xf borderId="0" fillId="0" fontId="2" numFmtId="0" xfId="0" applyAlignment="1" applyFont="1">
      <alignment horizontal="right" vertical="bottom"/>
    </xf>
    <xf borderId="0" fillId="9" fontId="6" numFmtId="0" xfId="0" applyAlignment="1" applyFill="1" applyFont="1">
      <alignment horizontal="center" vertical="bottom"/>
    </xf>
    <xf borderId="1" fillId="6" fontId="12" numFmtId="49" xfId="0" applyAlignment="1" applyBorder="1" applyFill="1" applyFont="1" applyNumberFormat="1">
      <alignment horizontal="left" shrinkToFit="0" vertical="bottom" wrapText="0"/>
    </xf>
    <xf borderId="0" fillId="10" fontId="13" numFmtId="0" xfId="0" applyAlignment="1" applyFill="1" applyFont="1">
      <alignment horizontal="center" vertical="bottom"/>
    </xf>
    <xf borderId="0" fillId="0" fontId="5" numFmtId="0" xfId="0" applyAlignment="1" applyFont="1">
      <alignment horizontal="center" vertical="bottom"/>
    </xf>
    <xf borderId="1" fillId="0" fontId="1" numFmtId="0" xfId="0" applyAlignment="1" applyBorder="1" applyFont="1">
      <alignment readingOrder="0"/>
    </xf>
    <xf borderId="0" fillId="11" fontId="6" numFmtId="0" xfId="0" applyAlignment="1" applyFill="1" applyFont="1">
      <alignment horizontal="center" readingOrder="0" vertical="bottom"/>
    </xf>
    <xf borderId="0" fillId="0" fontId="2" numFmtId="167" xfId="0" applyAlignment="1" applyFont="1" applyNumberFormat="1">
      <alignment horizontal="center" vertical="bottom"/>
    </xf>
    <xf borderId="0" fillId="0" fontId="2" numFmtId="167" xfId="0" applyAlignment="1" applyFont="1" applyNumberFormat="1">
      <alignment vertical="bottom"/>
    </xf>
    <xf borderId="1" fillId="6" fontId="2" numFmtId="49" xfId="0" applyAlignment="1" applyBorder="1" applyFill="1" applyFont="1" applyNumberFormat="1">
      <alignment vertical="bottom"/>
    </xf>
    <xf borderId="0" fillId="8" fontId="14" numFmtId="0" xfId="0" applyAlignment="1" applyFill="1" applyFont="1">
      <alignment readingOrder="0" shrinkToFit="0" vertical="bottom" wrapText="1"/>
    </xf>
    <xf borderId="0" fillId="6" fontId="2" numFmtId="0" xfId="0" applyAlignment="1" applyFill="1" applyFont="1">
      <alignment horizontal="right" vertical="bottom"/>
    </xf>
    <xf borderId="0" fillId="0" fontId="2" numFmtId="168" xfId="0" applyAlignment="1" applyFont="1" applyNumberFormat="1">
      <alignment horizontal="center" vertical="bottom"/>
    </xf>
    <xf borderId="0" fillId="6" fontId="2" numFmtId="0" xfId="0" applyAlignment="1" applyFill="1" applyFont="1">
      <alignment vertical="bottom"/>
    </xf>
    <xf borderId="0" fillId="0" fontId="2" numFmtId="0" xfId="0" applyAlignment="1" applyFont="1">
      <alignment horizontal="center" vertical="bottom"/>
    </xf>
    <xf borderId="1" fillId="0" fontId="2" numFmtId="49" xfId="0" applyBorder="1" applyFont="1" applyNumberFormat="1"/>
    <xf borderId="0" fillId="0" fontId="2" numFmtId="0" xfId="0" applyAlignment="1" applyFont="1">
      <alignment horizontal="center" shrinkToFit="0" wrapText="1"/>
    </xf>
    <xf borderId="0" fillId="0" fontId="2" numFmtId="169" xfId="0" applyAlignment="1" applyFont="1" applyNumberFormat="1">
      <alignment horizontal="center" vertical="bottom"/>
    </xf>
    <xf borderId="0" fillId="6" fontId="2" numFmtId="0" xfId="0" applyAlignment="1" applyFill="1" applyFont="1">
      <alignment horizontal="center" vertical="bottom"/>
    </xf>
    <xf borderId="0" fillId="0" fontId="2" numFmtId="168" xfId="0" applyAlignment="1" applyFont="1" applyNumberFormat="1">
      <alignment vertical="bottom"/>
    </xf>
    <xf borderId="0" fillId="12" fontId="14" numFmtId="0" xfId="0" applyAlignment="1" applyFill="1" applyFont="1">
      <alignment readingOrder="0" shrinkToFit="0" vertical="bottom" wrapText="1"/>
    </xf>
    <xf borderId="1" fillId="13" fontId="2" numFmtId="49" xfId="0" applyAlignment="1" applyBorder="1" applyFill="1" applyFont="1" applyNumberFormat="1">
      <alignment vertical="bottom"/>
    </xf>
    <xf borderId="0" fillId="14" fontId="14" numFmtId="0" xfId="0" applyAlignment="1" applyFill="1" applyFont="1">
      <alignment horizontal="center" shrinkToFit="0" vertical="bottom" wrapText="1"/>
    </xf>
    <xf borderId="1" fillId="13" fontId="2" numFmtId="0" xfId="0" applyAlignment="1" applyBorder="1" applyFill="1" applyFont="1">
      <alignment vertical="bottom"/>
    </xf>
    <xf borderId="0" fillId="13" fontId="2" numFmtId="0" xfId="0" applyAlignment="1" applyFill="1" applyFont="1">
      <alignment horizontal="right" vertical="bottom"/>
    </xf>
    <xf borderId="0" fillId="13" fontId="2" numFmtId="0" xfId="0" applyAlignment="1" applyFill="1" applyFont="1">
      <alignment vertical="bottom"/>
    </xf>
    <xf borderId="0" fillId="13" fontId="2" numFmtId="0" xfId="0" applyAlignment="1" applyFill="1" applyFont="1">
      <alignment horizontal="center" vertical="bottom"/>
    </xf>
    <xf borderId="0" fillId="0" fontId="15" numFmtId="0" xfId="0" applyAlignment="1" applyFont="1">
      <alignment horizontal="center" readingOrder="0"/>
    </xf>
    <xf borderId="0" fillId="0" fontId="15" numFmtId="0" xfId="0" applyAlignment="1" applyFont="1">
      <alignment horizontal="center" readingOrder="0"/>
    </xf>
    <xf borderId="0" fillId="6" fontId="2" numFmtId="0" xfId="0" applyAlignment="1" applyFill="1" applyFont="1">
      <alignment horizontal="right" readingOrder="0" vertical="bottom"/>
    </xf>
    <xf borderId="1" fillId="0" fontId="2" numFmtId="49" xfId="0" applyAlignment="1" applyBorder="1" applyFont="1" applyNumberFormat="1">
      <alignment readingOrder="0" vertical="bottom"/>
    </xf>
    <xf borderId="1" fillId="0" fontId="2" numFmtId="49" xfId="0" applyAlignment="1" applyBorder="1" applyFont="1" applyNumberFormat="1">
      <alignment vertical="bottom"/>
    </xf>
    <xf borderId="0" fillId="0" fontId="1" numFmtId="0" xfId="0" applyAlignment="1" applyFont="1">
      <alignment readingOrder="0"/>
    </xf>
    <xf borderId="1" fillId="6" fontId="2" numFmtId="0" xfId="0" applyAlignment="1" applyBorder="1" applyFill="1" applyFont="1">
      <alignment vertical="bottom"/>
    </xf>
    <xf borderId="0" fillId="15" fontId="2" numFmtId="0" xfId="0" applyAlignment="1" applyFill="1" applyFont="1">
      <alignment horizontal="center" vertical="bottom"/>
    </xf>
    <xf borderId="0" fillId="6" fontId="2" numFmtId="0" xfId="0" applyAlignment="1" applyFill="1" applyFont="1">
      <alignment readingOrder="0" vertical="bottom"/>
    </xf>
    <xf borderId="0" fillId="13" fontId="2" numFmtId="0" xfId="0" applyAlignment="1" applyFill="1" applyFont="1">
      <alignment horizontal="right" readingOrder="0" vertical="bottom"/>
    </xf>
    <xf borderId="0" fillId="0" fontId="1" numFmtId="0" xfId="0" applyFont="1"/>
    <xf borderId="0" fillId="0" fontId="1" numFmtId="2" xfId="0" applyFont="1" applyNumberFormat="1"/>
    <xf borderId="1" fillId="6" fontId="12" numFmtId="49" xfId="0" applyAlignment="1" applyBorder="1" applyFill="1" applyFont="1" applyNumberFormat="1">
      <alignment horizontal="left" shrinkToFit="0" vertical="bottom" wrapText="0"/>
    </xf>
    <xf borderId="1" fillId="0" fontId="1" numFmtId="0" xfId="0" applyAlignment="1" applyBorder="1" applyFont="1">
      <alignment readingOrder="0"/>
    </xf>
    <xf borderId="0" fillId="0" fontId="1" numFmtId="2" xfId="0" applyFont="1" applyNumberFormat="1"/>
    <xf borderId="0" fillId="0" fontId="1" numFmtId="2" xfId="0" applyAlignment="1" applyFont="1" applyNumberFormat="1">
      <alignment horizontal="center" readingOrder="0"/>
    </xf>
    <xf borderId="0" fillId="16" fontId="5" numFmtId="0" xfId="0" applyAlignment="1" applyFill="1" applyFont="1">
      <alignment vertical="bottom"/>
    </xf>
    <xf borderId="0" fillId="0" fontId="2" numFmtId="0" xfId="0" applyAlignment="1" applyFont="1">
      <alignment shrinkToFit="0" vertical="bottom" wrapText="1"/>
    </xf>
    <xf borderId="0" fillId="16" fontId="5" numFmtId="0" xfId="0" applyAlignment="1" applyFill="1" applyFont="1">
      <alignment readingOrder="0" vertical="bottom"/>
    </xf>
    <xf borderId="0" fillId="16" fontId="5" numFmtId="2" xfId="0" applyAlignment="1" applyFill="1" applyFont="1" applyNumberFormat="1">
      <alignment readingOrder="0" vertical="bottom"/>
    </xf>
    <xf borderId="0" fillId="17" fontId="1" numFmtId="0" xfId="0" applyAlignment="1" applyFill="1" applyFont="1">
      <alignment readingOrder="0"/>
    </xf>
    <xf borderId="0" fillId="0" fontId="1" numFmtId="0" xfId="0" applyAlignment="1" applyFont="1">
      <alignment horizontal="left"/>
    </xf>
    <xf borderId="1" fillId="0" fontId="2" numFmtId="49" xfId="0" applyBorder="1" applyFont="1" applyNumberFormat="1"/>
    <xf borderId="1" fillId="0" fontId="2" numFmtId="49" xfId="0" applyAlignment="1" applyBorder="1" applyFont="1" applyNumberFormat="1">
      <alignment readingOrder="0" vertical="bottom"/>
    </xf>
    <xf borderId="0" fillId="18" fontId="1" numFmtId="0" xfId="0" applyFill="1" applyFont="1"/>
    <xf borderId="0" fillId="17" fontId="1" numFmtId="0" xfId="0" applyFill="1" applyFont="1"/>
    <xf borderId="0" fillId="19" fontId="1" numFmtId="0" xfId="0" applyFill="1" applyFont="1"/>
    <xf borderId="0" fillId="13" fontId="1" numFmtId="2" xfId="0" applyFill="1" applyFont="1" applyNumberFormat="1"/>
    <xf borderId="0" fillId="13" fontId="1" numFmtId="0" xfId="0" applyAlignment="1" applyFill="1" applyFont="1">
      <alignment readingOrder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  <tableStyles count="3">
    <tableStyle count="2" pivot="0" name="Mid-style">
      <tableStyleElement dxfId="1" type="firstRowStripe"/>
      <tableStyleElement dxfId="2" type="secondRowStripe"/>
    </tableStyle>
    <tableStyle count="2" pivot="0" name="Marks-style">
      <tableStyleElement dxfId="1" type="firstRowStripe"/>
      <tableStyleElement dxfId="2" type="secondRowStripe"/>
    </tableStyle>
    <tableStyle count="2" pivot="0" name="Final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619125</xdr:colOff>
      <xdr:row>13</xdr:row>
      <xdr:rowOff>28575</xdr:rowOff>
    </xdr:from>
    <xdr:ext cx="4524375" cy="35147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7:S45" displayName="Table_1" name="Table_1" id="1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Marks-style" showColumnStripes="0" showFirstColumn="1" showLastColumn="1" showRowStripes="1"/>
</table>
</file>

<file path=xl/tables/table2.xml><?xml version="1.0" encoding="utf-8"?>
<table xmlns="http://schemas.openxmlformats.org/spreadsheetml/2006/main" headerRowCount="0" ref="C5:M43" displayName="Table_2" name="Table_2" id="2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Mid-style" showColumnStripes="0" showFirstColumn="1" showLastColumn="1" showRowStripes="1"/>
</table>
</file>

<file path=xl/tables/table3.xml><?xml version="1.0" encoding="utf-8"?>
<table xmlns="http://schemas.openxmlformats.org/spreadsheetml/2006/main" headerRowCount="0" ref="B6:M44" displayName="Table_3" name="Table_3" id="3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Fin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88"/>
    <col customWidth="1" min="4" max="4" width="18.25"/>
    <col customWidth="1" min="5" max="5" width="28.25"/>
    <col customWidth="1" min="6" max="6" width="39.75"/>
    <col customWidth="1" min="8" max="8" width="32.63"/>
  </cols>
  <sheetData>
    <row r="3">
      <c r="B3" s="2"/>
      <c r="C3" s="2"/>
      <c r="D3" s="2"/>
      <c r="E3" s="2"/>
      <c r="F3" s="2"/>
      <c r="G3" s="2"/>
      <c r="H3" s="2"/>
      <c r="I3" s="2"/>
    </row>
    <row r="4">
      <c r="B4" s="3" t="s">
        <v>0</v>
      </c>
      <c r="C4" s="2"/>
      <c r="D4" s="4" t="s">
        <v>1</v>
      </c>
      <c r="E4" s="4" t="s">
        <v>2</v>
      </c>
      <c r="F4" s="2"/>
      <c r="G4" s="2"/>
      <c r="H4" s="2"/>
      <c r="I4" s="2"/>
    </row>
    <row r="5">
      <c r="C5" s="2"/>
      <c r="D5" s="4" t="s">
        <v>3</v>
      </c>
      <c r="E5" s="4" t="s">
        <v>2</v>
      </c>
      <c r="F5" s="2"/>
      <c r="G5" s="2"/>
      <c r="H5" s="5" t="s">
        <v>5</v>
      </c>
      <c r="I5" s="5" t="s">
        <v>6</v>
      </c>
    </row>
    <row r="6">
      <c r="C6" s="2"/>
      <c r="D6" s="4" t="s">
        <v>8</v>
      </c>
      <c r="E6" s="4" t="s">
        <v>9</v>
      </c>
      <c r="F6" s="2"/>
      <c r="G6" s="2"/>
    </row>
    <row r="7">
      <c r="C7" s="2"/>
      <c r="D7" s="4" t="s">
        <v>12</v>
      </c>
      <c r="E7" s="4" t="s">
        <v>9</v>
      </c>
      <c r="F7" s="2"/>
      <c r="G7" s="2"/>
    </row>
    <row r="8">
      <c r="C8" s="2"/>
      <c r="D8" s="2"/>
      <c r="E8" s="2"/>
      <c r="F8" s="2"/>
      <c r="G8" s="2"/>
      <c r="H8" s="2"/>
      <c r="I8" s="2"/>
    </row>
    <row r="9">
      <c r="B9" s="2"/>
      <c r="C9" s="2"/>
      <c r="D9" s="2"/>
      <c r="E9" s="2"/>
      <c r="F9" s="2"/>
      <c r="G9" s="2"/>
      <c r="H9" s="2"/>
      <c r="I9" s="2"/>
    </row>
    <row r="10">
      <c r="B10" s="2"/>
      <c r="C10" s="2"/>
      <c r="D10" s="2"/>
      <c r="E10" s="2"/>
      <c r="F10" s="2"/>
      <c r="G10" s="2"/>
      <c r="H10" s="2"/>
      <c r="I10" s="2"/>
    </row>
    <row r="11">
      <c r="B11" s="11" t="s">
        <v>15</v>
      </c>
      <c r="C11" s="11" t="s">
        <v>17</v>
      </c>
      <c r="D11" s="11" t="s">
        <v>19</v>
      </c>
      <c r="E11" s="11" t="s">
        <v>20</v>
      </c>
      <c r="F11" s="11" t="s">
        <v>21</v>
      </c>
      <c r="G11" s="2"/>
      <c r="H11" s="2"/>
      <c r="I11" s="2"/>
    </row>
    <row r="12">
      <c r="B12" s="16" t="s">
        <v>24</v>
      </c>
      <c r="C12" s="17">
        <v>1.1</v>
      </c>
      <c r="D12" s="2"/>
      <c r="E12" s="2"/>
      <c r="F12" s="18" t="s">
        <v>25</v>
      </c>
      <c r="G12" s="2"/>
      <c r="H12" s="2"/>
      <c r="I12" s="2"/>
    </row>
    <row r="13">
      <c r="B13" s="16" t="s">
        <v>26</v>
      </c>
      <c r="C13" s="17">
        <v>1.2</v>
      </c>
      <c r="D13" s="2"/>
      <c r="E13" s="2"/>
      <c r="F13" s="18" t="s">
        <v>27</v>
      </c>
      <c r="G13" s="2"/>
      <c r="H13" s="2"/>
      <c r="I13" s="2"/>
    </row>
    <row r="14">
      <c r="B14" s="16" t="s">
        <v>28</v>
      </c>
      <c r="C14" s="17">
        <v>2.1</v>
      </c>
      <c r="D14" s="2"/>
      <c r="E14" s="2"/>
      <c r="F14" s="18" t="s">
        <v>29</v>
      </c>
      <c r="G14" s="2"/>
      <c r="H14" s="2"/>
      <c r="I14" s="2"/>
    </row>
    <row r="15">
      <c r="B15" s="16" t="s">
        <v>30</v>
      </c>
      <c r="C15" s="17">
        <v>2.2</v>
      </c>
      <c r="D15" s="2"/>
      <c r="E15" s="2"/>
      <c r="F15" s="18" t="s">
        <v>31</v>
      </c>
      <c r="G15" s="2"/>
      <c r="H15" s="2"/>
      <c r="I15" s="2"/>
    </row>
    <row r="16">
      <c r="B16" s="16" t="s">
        <v>32</v>
      </c>
      <c r="C16" s="17">
        <v>3.1</v>
      </c>
      <c r="D16" s="2"/>
      <c r="E16" s="2"/>
      <c r="F16" s="18" t="s">
        <v>33</v>
      </c>
      <c r="G16" s="2"/>
      <c r="H16" s="2"/>
      <c r="I16" s="2"/>
    </row>
    <row r="17">
      <c r="B17" s="16" t="s">
        <v>34</v>
      </c>
      <c r="C17" s="17">
        <v>3.2</v>
      </c>
      <c r="D17" s="2"/>
      <c r="E17" s="2"/>
      <c r="F17" s="18" t="s">
        <v>35</v>
      </c>
      <c r="G17" s="2"/>
      <c r="H17" s="2"/>
      <c r="I17" s="2"/>
    </row>
    <row r="18">
      <c r="B18" s="16" t="s">
        <v>36</v>
      </c>
      <c r="C18" s="17">
        <v>4.1</v>
      </c>
      <c r="D18" s="2"/>
      <c r="E18" s="2"/>
      <c r="F18" s="18" t="s">
        <v>37</v>
      </c>
      <c r="G18" s="2"/>
      <c r="H18" s="2"/>
      <c r="I18" s="2"/>
    </row>
    <row r="19">
      <c r="B19" s="16" t="s">
        <v>38</v>
      </c>
      <c r="C19" s="17">
        <v>4.2</v>
      </c>
      <c r="D19" s="2"/>
      <c r="E19" s="2"/>
      <c r="F19" s="19" t="s">
        <v>39</v>
      </c>
      <c r="G19" s="2"/>
      <c r="H19" s="2"/>
      <c r="I19" s="2"/>
    </row>
    <row r="20">
      <c r="B20" s="16" t="s">
        <v>40</v>
      </c>
      <c r="C20" s="17">
        <v>5.1</v>
      </c>
      <c r="D20" s="21" t="s">
        <v>41</v>
      </c>
      <c r="E20" s="22" t="s">
        <v>42</v>
      </c>
      <c r="F20" s="2"/>
      <c r="G20" s="2"/>
      <c r="H20" s="2"/>
      <c r="I20" s="2"/>
    </row>
    <row r="21">
      <c r="B21" s="16" t="s">
        <v>44</v>
      </c>
      <c r="C21" s="17">
        <v>5.2</v>
      </c>
      <c r="D21" s="2"/>
      <c r="E21" s="2"/>
      <c r="F21" s="19" t="s">
        <v>47</v>
      </c>
      <c r="G21" s="2"/>
      <c r="H21" s="2"/>
      <c r="I21" s="2"/>
    </row>
    <row r="22">
      <c r="B22" s="16" t="s">
        <v>49</v>
      </c>
      <c r="C22" s="17">
        <v>6.1</v>
      </c>
      <c r="D22" s="21" t="s">
        <v>50</v>
      </c>
      <c r="E22" s="22" t="s">
        <v>52</v>
      </c>
      <c r="F22" s="2"/>
      <c r="G22" s="2"/>
      <c r="H22" s="2"/>
      <c r="I22" s="2"/>
    </row>
    <row r="23">
      <c r="B23" s="16" t="s">
        <v>53</v>
      </c>
      <c r="C23" s="17">
        <v>6.2</v>
      </c>
      <c r="D23" s="2"/>
      <c r="E23" s="2"/>
      <c r="F23" s="18" t="s">
        <v>55</v>
      </c>
      <c r="G23" s="2"/>
      <c r="H23" s="2"/>
      <c r="I23" s="2"/>
    </row>
    <row r="24">
      <c r="B24" s="16" t="s">
        <v>56</v>
      </c>
      <c r="C24" s="27">
        <v>7.1</v>
      </c>
      <c r="D24" s="2"/>
      <c r="E24" s="2"/>
      <c r="F24" s="18" t="s">
        <v>61</v>
      </c>
      <c r="G24" s="2"/>
      <c r="H24" s="2"/>
      <c r="I24" s="2"/>
    </row>
    <row r="25">
      <c r="B25" s="2"/>
      <c r="C25" s="30" t="s">
        <v>65</v>
      </c>
      <c r="G25" s="2"/>
      <c r="H25" s="2"/>
      <c r="I25" s="2"/>
    </row>
    <row r="26">
      <c r="B26" s="2"/>
      <c r="G26" s="2"/>
      <c r="H26" s="2"/>
      <c r="I26" s="2"/>
    </row>
    <row r="27">
      <c r="B27" s="34">
        <v>46181.0</v>
      </c>
      <c r="C27" s="35"/>
      <c r="D27" s="2"/>
      <c r="E27" s="2"/>
      <c r="F27" s="2" t="s">
        <v>75</v>
      </c>
      <c r="G27" s="15" t="s">
        <v>76</v>
      </c>
      <c r="H27" s="2"/>
      <c r="I27" s="2"/>
    </row>
    <row r="28">
      <c r="B28" s="34">
        <v>46242.0</v>
      </c>
      <c r="C28" s="35"/>
      <c r="D28" s="2"/>
      <c r="E28" s="2"/>
      <c r="F28" s="2" t="s">
        <v>79</v>
      </c>
      <c r="G28" s="2" t="s">
        <v>80</v>
      </c>
      <c r="H28" s="2"/>
      <c r="I28" s="2"/>
    </row>
    <row r="29">
      <c r="B29" s="39" t="s">
        <v>81</v>
      </c>
      <c r="C29" s="35"/>
      <c r="D29" s="2"/>
      <c r="E29" s="2"/>
      <c r="F29" s="2" t="s">
        <v>79</v>
      </c>
      <c r="H29" s="2"/>
      <c r="I29" s="2"/>
    </row>
    <row r="30">
      <c r="B30" s="39" t="s">
        <v>85</v>
      </c>
      <c r="C30" s="35"/>
      <c r="D30" s="2"/>
      <c r="E30" s="2"/>
      <c r="F30" s="2" t="s">
        <v>86</v>
      </c>
      <c r="G30" s="2" t="s">
        <v>87</v>
      </c>
      <c r="H30" s="2"/>
      <c r="I30" s="2"/>
    </row>
    <row r="31">
      <c r="B31" s="41" t="s">
        <v>88</v>
      </c>
      <c r="C31" s="2"/>
      <c r="D31" s="21" t="s">
        <v>89</v>
      </c>
      <c r="E31" s="22" t="s">
        <v>90</v>
      </c>
      <c r="F31" s="2" t="s">
        <v>46</v>
      </c>
      <c r="H31" s="2"/>
      <c r="I31" s="2"/>
    </row>
    <row r="32">
      <c r="B32" s="2" t="s">
        <v>91</v>
      </c>
      <c r="C32" s="2"/>
      <c r="D32" s="2"/>
      <c r="E32" s="2"/>
      <c r="F32" s="2" t="s">
        <v>92</v>
      </c>
      <c r="H32" s="2"/>
      <c r="I32" s="2"/>
    </row>
    <row r="33">
      <c r="B33" s="41" t="s">
        <v>93</v>
      </c>
      <c r="C33" s="2"/>
      <c r="D33" s="2"/>
      <c r="E33" s="2"/>
      <c r="F33" s="2" t="s">
        <v>94</v>
      </c>
      <c r="G33" s="43" t="s">
        <v>95</v>
      </c>
      <c r="H33" s="2"/>
      <c r="I33" s="2"/>
    </row>
    <row r="34">
      <c r="B34" s="41" t="s">
        <v>96</v>
      </c>
      <c r="C34" s="35"/>
      <c r="D34" s="2"/>
      <c r="E34" s="2"/>
      <c r="F34" s="2" t="s">
        <v>98</v>
      </c>
      <c r="H34" s="2"/>
      <c r="I34" s="2"/>
    </row>
    <row r="35">
      <c r="B35" s="41" t="s">
        <v>99</v>
      </c>
      <c r="C35" s="35"/>
      <c r="D35" s="2"/>
      <c r="E35" s="2"/>
      <c r="F35" s="2" t="s">
        <v>100</v>
      </c>
      <c r="H35" s="2"/>
      <c r="I35" s="2"/>
    </row>
    <row r="36">
      <c r="B36" s="44">
        <v>46090.0</v>
      </c>
      <c r="C36" s="2"/>
      <c r="D36" s="2"/>
      <c r="E36" s="2"/>
      <c r="F36" s="2" t="s">
        <v>101</v>
      </c>
      <c r="H36" s="2"/>
      <c r="I36" s="2"/>
    </row>
    <row r="37">
      <c r="B37" s="44">
        <v>46151.0</v>
      </c>
      <c r="C37" s="2"/>
      <c r="D37" s="21" t="s">
        <v>102</v>
      </c>
      <c r="E37" s="22" t="s">
        <v>103</v>
      </c>
      <c r="F37" s="2" t="s">
        <v>48</v>
      </c>
      <c r="G37" s="2"/>
      <c r="H37" s="2"/>
      <c r="I37" s="2"/>
    </row>
    <row r="38">
      <c r="B38" s="46"/>
      <c r="C38" s="2"/>
      <c r="D38" s="2"/>
      <c r="E38" s="2"/>
      <c r="F38" s="2"/>
      <c r="G38" s="2"/>
      <c r="H38" s="2"/>
      <c r="I38" s="2"/>
    </row>
    <row r="39">
      <c r="B39" s="46"/>
      <c r="C39" s="2"/>
      <c r="D39" s="2"/>
      <c r="E39" s="2"/>
      <c r="F39" s="2"/>
      <c r="G39" s="2"/>
      <c r="H39" s="2"/>
      <c r="I39" s="2"/>
    </row>
    <row r="40">
      <c r="B40" s="46"/>
      <c r="C40" s="2"/>
      <c r="D40" s="2"/>
      <c r="E40" s="2"/>
      <c r="F40" s="2"/>
      <c r="G40" s="2"/>
    </row>
    <row r="41">
      <c r="B41" s="2"/>
      <c r="C41" s="2"/>
      <c r="D41" s="2"/>
      <c r="E41" s="2"/>
      <c r="F41" s="2"/>
      <c r="G41" s="2"/>
    </row>
    <row r="42">
      <c r="B42" s="2"/>
      <c r="C42" s="2"/>
      <c r="D42" s="2"/>
      <c r="E42" s="2"/>
      <c r="F42" s="2"/>
      <c r="G42" s="2"/>
    </row>
    <row r="43">
      <c r="G43" s="2"/>
    </row>
    <row r="44">
      <c r="G44" s="2"/>
    </row>
    <row r="45">
      <c r="G45" s="2"/>
    </row>
    <row r="46">
      <c r="G46" s="2"/>
    </row>
    <row r="47">
      <c r="G47" s="2"/>
    </row>
    <row r="48">
      <c r="G48" s="2"/>
    </row>
    <row r="49">
      <c r="G49" s="2"/>
    </row>
    <row r="50">
      <c r="G50" s="2"/>
    </row>
    <row r="51">
      <c r="G51" s="2"/>
    </row>
    <row r="52">
      <c r="G52" s="2"/>
    </row>
    <row r="53">
      <c r="G53" s="2"/>
    </row>
    <row r="54">
      <c r="G54" s="2"/>
    </row>
  </sheetData>
  <mergeCells count="7">
    <mergeCell ref="B4:B8"/>
    <mergeCell ref="H5:H7"/>
    <mergeCell ref="I5:I7"/>
    <mergeCell ref="C25:F26"/>
    <mergeCell ref="G28:G29"/>
    <mergeCell ref="G30:G32"/>
    <mergeCell ref="G33:G3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25"/>
    <col customWidth="1" min="3" max="3" width="31.38"/>
    <col customWidth="1" min="4" max="17" width="5.13"/>
  </cols>
  <sheetData>
    <row r="1">
      <c r="D1" s="1"/>
      <c r="E1" s="1"/>
      <c r="F1" s="1"/>
      <c r="G1" s="1"/>
      <c r="H1" s="1"/>
      <c r="I1" s="2"/>
      <c r="J1" s="2" t="s">
        <v>4</v>
      </c>
      <c r="K1" s="2"/>
      <c r="L1" s="1"/>
      <c r="M1" s="1"/>
      <c r="N1" s="1"/>
      <c r="O1" s="1"/>
      <c r="P1" s="1"/>
      <c r="Q1" s="1"/>
    </row>
    <row r="2">
      <c r="B2" s="6" t="s">
        <v>7</v>
      </c>
      <c r="C2" s="6" t="s">
        <v>10</v>
      </c>
      <c r="D2" s="7" t="s">
        <v>11</v>
      </c>
      <c r="E2" s="7" t="s">
        <v>13</v>
      </c>
      <c r="F2" s="7" t="s">
        <v>14</v>
      </c>
      <c r="G2" s="8"/>
      <c r="H2" s="8"/>
      <c r="I2" s="9">
        <v>46119.0</v>
      </c>
      <c r="J2" s="9">
        <v>46272.0</v>
      </c>
      <c r="K2" s="9">
        <v>46333.0</v>
      </c>
      <c r="L2" s="8"/>
      <c r="M2" s="10">
        <v>46181.0</v>
      </c>
      <c r="N2" s="8"/>
      <c r="O2" s="8"/>
      <c r="P2" s="8"/>
      <c r="Q2" s="8"/>
      <c r="R2" s="6"/>
      <c r="S2" s="6" t="s">
        <v>16</v>
      </c>
    </row>
    <row r="3">
      <c r="B3" s="12" t="s">
        <v>18</v>
      </c>
      <c r="C3" s="13" t="s">
        <v>22</v>
      </c>
      <c r="D3" s="14">
        <v>1.0</v>
      </c>
      <c r="E3" s="14" t="s">
        <v>23</v>
      </c>
      <c r="F3" s="14" t="s">
        <v>23</v>
      </c>
      <c r="G3" s="14" t="s">
        <v>23</v>
      </c>
      <c r="H3" s="14" t="s">
        <v>23</v>
      </c>
      <c r="I3" s="14" t="s">
        <v>23</v>
      </c>
      <c r="J3" s="14" t="s">
        <v>23</v>
      </c>
      <c r="K3" s="14" t="s">
        <v>23</v>
      </c>
      <c r="L3" s="14" t="s">
        <v>23</v>
      </c>
      <c r="M3" s="14" t="s">
        <v>23</v>
      </c>
      <c r="N3" s="14">
        <v>1.0</v>
      </c>
      <c r="O3" s="14" t="s">
        <v>23</v>
      </c>
      <c r="P3" s="14" t="s">
        <v>23</v>
      </c>
      <c r="Q3" s="14" t="s">
        <v>23</v>
      </c>
      <c r="R3" s="15">
        <v>1.0</v>
      </c>
      <c r="S3" s="26">
        <f t="shared" ref="S3:S42" si="1">COUNTIF(D3:R3,"A")</f>
        <v>12</v>
      </c>
    </row>
    <row r="4">
      <c r="B4" s="29" t="s">
        <v>64</v>
      </c>
      <c r="C4" s="32" t="s">
        <v>71</v>
      </c>
      <c r="D4" s="14">
        <v>1.0</v>
      </c>
      <c r="E4" s="14" t="s">
        <v>23</v>
      </c>
      <c r="F4" s="14">
        <v>1.0</v>
      </c>
      <c r="G4" s="14">
        <v>1.0</v>
      </c>
      <c r="H4" s="14" t="s">
        <v>23</v>
      </c>
      <c r="I4" s="14">
        <v>1.0</v>
      </c>
      <c r="J4" s="14">
        <v>1.0</v>
      </c>
      <c r="K4" s="14">
        <v>1.0</v>
      </c>
      <c r="L4" s="14">
        <v>1.0</v>
      </c>
      <c r="M4" s="14">
        <v>1.0</v>
      </c>
      <c r="N4" s="14">
        <v>1.0</v>
      </c>
      <c r="O4" s="14">
        <v>1.0</v>
      </c>
      <c r="P4" s="14">
        <v>1.0</v>
      </c>
      <c r="Q4" s="14" t="s">
        <v>23</v>
      </c>
      <c r="R4" s="15">
        <v>1.0</v>
      </c>
      <c r="S4" s="26">
        <f t="shared" si="1"/>
        <v>3</v>
      </c>
    </row>
    <row r="5">
      <c r="B5" s="12" t="s">
        <v>77</v>
      </c>
      <c r="C5" s="13" t="s">
        <v>78</v>
      </c>
      <c r="D5" s="14">
        <v>1.0</v>
      </c>
      <c r="E5" s="14">
        <v>1.0</v>
      </c>
      <c r="F5" s="14">
        <v>1.0</v>
      </c>
      <c r="G5" s="14">
        <v>1.0</v>
      </c>
      <c r="H5" s="14">
        <v>1.0</v>
      </c>
      <c r="I5" s="14">
        <v>1.0</v>
      </c>
      <c r="J5" s="14">
        <v>1.0</v>
      </c>
      <c r="K5" s="14">
        <v>1.0</v>
      </c>
      <c r="L5" s="14">
        <v>1.0</v>
      </c>
      <c r="M5" s="14">
        <v>1.0</v>
      </c>
      <c r="N5" s="14">
        <v>1.0</v>
      </c>
      <c r="O5" s="14">
        <v>1.0</v>
      </c>
      <c r="P5" s="14" t="s">
        <v>23</v>
      </c>
      <c r="Q5" s="14" t="s">
        <v>23</v>
      </c>
      <c r="R5" s="15">
        <v>1.0</v>
      </c>
      <c r="S5" s="26">
        <f t="shared" si="1"/>
        <v>2</v>
      </c>
    </row>
    <row r="6">
      <c r="B6" s="12" t="s">
        <v>82</v>
      </c>
      <c r="C6" s="13" t="s">
        <v>83</v>
      </c>
      <c r="D6" s="14">
        <v>1.0</v>
      </c>
      <c r="E6" s="14">
        <v>1.0</v>
      </c>
      <c r="F6" s="14" t="s">
        <v>23</v>
      </c>
      <c r="G6" s="14" t="s">
        <v>23</v>
      </c>
      <c r="H6" s="14">
        <v>1.0</v>
      </c>
      <c r="I6" s="14">
        <v>1.0</v>
      </c>
      <c r="J6" s="14">
        <v>1.0</v>
      </c>
      <c r="K6" s="14" t="s">
        <v>23</v>
      </c>
      <c r="L6" s="14">
        <v>1.0</v>
      </c>
      <c r="M6" s="14">
        <v>1.0</v>
      </c>
      <c r="N6" s="14">
        <v>1.0</v>
      </c>
      <c r="O6" s="14">
        <v>1.0</v>
      </c>
      <c r="P6" s="14">
        <v>1.0</v>
      </c>
      <c r="Q6" s="14" t="s">
        <v>23</v>
      </c>
      <c r="R6" s="15">
        <v>1.0</v>
      </c>
      <c r="S6" s="26">
        <f t="shared" si="1"/>
        <v>4</v>
      </c>
    </row>
    <row r="7">
      <c r="B7" s="42" t="s">
        <v>84</v>
      </c>
      <c r="C7" s="13" t="s">
        <v>97</v>
      </c>
      <c r="D7" s="14">
        <v>1.0</v>
      </c>
      <c r="E7" s="14" t="s">
        <v>23</v>
      </c>
      <c r="F7" s="14" t="s">
        <v>23</v>
      </c>
      <c r="G7" s="14">
        <v>1.0</v>
      </c>
      <c r="H7" s="14">
        <v>1.0</v>
      </c>
      <c r="I7" s="14" t="s">
        <v>23</v>
      </c>
      <c r="J7" s="14">
        <v>1.0</v>
      </c>
      <c r="K7" s="14">
        <v>1.0</v>
      </c>
      <c r="L7" s="14">
        <v>1.0</v>
      </c>
      <c r="M7" s="14">
        <v>1.0</v>
      </c>
      <c r="N7" s="14" t="s">
        <v>23</v>
      </c>
      <c r="O7" s="14" t="s">
        <v>23</v>
      </c>
      <c r="P7" s="14">
        <v>1.0</v>
      </c>
      <c r="Q7" s="14">
        <v>1.0</v>
      </c>
      <c r="R7" s="15">
        <v>1.0</v>
      </c>
      <c r="S7" s="26">
        <f t="shared" si="1"/>
        <v>5</v>
      </c>
    </row>
    <row r="8">
      <c r="B8" s="12" t="s">
        <v>104</v>
      </c>
      <c r="C8" s="13" t="s">
        <v>105</v>
      </c>
      <c r="D8" s="14" t="s">
        <v>23</v>
      </c>
      <c r="E8" s="14">
        <v>1.0</v>
      </c>
      <c r="F8" s="14" t="s">
        <v>23</v>
      </c>
      <c r="G8" s="14">
        <v>1.0</v>
      </c>
      <c r="H8" s="14">
        <v>1.0</v>
      </c>
      <c r="I8" s="14" t="s">
        <v>23</v>
      </c>
      <c r="J8" s="14" t="s">
        <v>23</v>
      </c>
      <c r="K8" s="14" t="s">
        <v>23</v>
      </c>
      <c r="L8" s="14">
        <v>1.0</v>
      </c>
      <c r="M8" s="14" t="s">
        <v>23</v>
      </c>
      <c r="N8" s="54">
        <v>1.0</v>
      </c>
      <c r="O8" s="14" t="s">
        <v>23</v>
      </c>
      <c r="P8" s="14">
        <v>1.0</v>
      </c>
      <c r="Q8" s="14" t="s">
        <v>23</v>
      </c>
      <c r="R8" s="55">
        <v>1.0</v>
      </c>
      <c r="S8" s="26">
        <f t="shared" si="1"/>
        <v>8</v>
      </c>
    </row>
    <row r="9">
      <c r="B9" s="57" t="s">
        <v>109</v>
      </c>
      <c r="C9" s="32" t="s">
        <v>110</v>
      </c>
      <c r="D9" s="14">
        <v>1.0</v>
      </c>
      <c r="E9" s="14">
        <v>1.0</v>
      </c>
      <c r="F9" s="14">
        <v>1.0</v>
      </c>
      <c r="G9" s="14">
        <v>1.0</v>
      </c>
      <c r="H9" s="14">
        <v>1.0</v>
      </c>
      <c r="I9" s="14" t="s">
        <v>23</v>
      </c>
      <c r="J9" s="14" t="s">
        <v>23</v>
      </c>
      <c r="K9" s="14" t="s">
        <v>23</v>
      </c>
      <c r="L9" s="14">
        <v>1.0</v>
      </c>
      <c r="M9" s="14" t="s">
        <v>23</v>
      </c>
      <c r="N9" s="14" t="s">
        <v>23</v>
      </c>
      <c r="O9" s="14">
        <v>1.0</v>
      </c>
      <c r="P9" s="14">
        <v>1.0</v>
      </c>
      <c r="Q9" s="14" t="s">
        <v>23</v>
      </c>
      <c r="R9" s="15">
        <v>1.0</v>
      </c>
      <c r="S9" s="26">
        <f t="shared" si="1"/>
        <v>6</v>
      </c>
    </row>
    <row r="10">
      <c r="B10" s="12" t="s">
        <v>111</v>
      </c>
      <c r="C10" s="13" t="s">
        <v>112</v>
      </c>
      <c r="D10" s="14" t="s">
        <v>23</v>
      </c>
      <c r="E10" s="14">
        <v>1.0</v>
      </c>
      <c r="F10" s="14">
        <v>1.0</v>
      </c>
      <c r="G10" s="14">
        <v>1.0</v>
      </c>
      <c r="H10" s="14" t="s">
        <v>23</v>
      </c>
      <c r="I10" s="14" t="s">
        <v>23</v>
      </c>
      <c r="J10" s="14" t="s">
        <v>23</v>
      </c>
      <c r="K10" s="14" t="s">
        <v>23</v>
      </c>
      <c r="L10" s="14" t="s">
        <v>23</v>
      </c>
      <c r="M10" s="14">
        <v>1.0</v>
      </c>
      <c r="N10" s="14" t="s">
        <v>23</v>
      </c>
      <c r="O10" s="14" t="s">
        <v>23</v>
      </c>
      <c r="P10" s="1"/>
      <c r="Q10" s="14" t="s">
        <v>23</v>
      </c>
      <c r="R10" s="15" t="s">
        <v>23</v>
      </c>
      <c r="S10" s="26">
        <f t="shared" si="1"/>
        <v>10</v>
      </c>
    </row>
    <row r="11">
      <c r="B11" s="12" t="s">
        <v>113</v>
      </c>
      <c r="C11" s="13" t="s">
        <v>114</v>
      </c>
      <c r="D11" s="14" t="s">
        <v>23</v>
      </c>
      <c r="E11" s="14">
        <v>1.0</v>
      </c>
      <c r="F11" s="14">
        <v>1.0</v>
      </c>
      <c r="G11" s="14" t="s">
        <v>23</v>
      </c>
      <c r="H11" s="14" t="s">
        <v>23</v>
      </c>
      <c r="I11" s="14" t="s">
        <v>23</v>
      </c>
      <c r="J11" s="14" t="s">
        <v>23</v>
      </c>
      <c r="K11" s="14" t="s">
        <v>23</v>
      </c>
      <c r="L11" s="14" t="s">
        <v>23</v>
      </c>
      <c r="M11" s="14" t="s">
        <v>23</v>
      </c>
      <c r="N11" s="14" t="s">
        <v>23</v>
      </c>
      <c r="O11" s="14" t="s">
        <v>23</v>
      </c>
      <c r="P11" s="1"/>
      <c r="Q11" s="14" t="s">
        <v>23</v>
      </c>
      <c r="R11" s="15" t="s">
        <v>23</v>
      </c>
      <c r="S11" s="26">
        <f t="shared" si="1"/>
        <v>12</v>
      </c>
    </row>
    <row r="12">
      <c r="B12" s="12" t="s">
        <v>115</v>
      </c>
      <c r="C12" s="13" t="s">
        <v>116</v>
      </c>
      <c r="D12" s="14">
        <v>1.0</v>
      </c>
      <c r="E12" s="14">
        <v>1.0</v>
      </c>
      <c r="F12" s="14" t="s">
        <v>23</v>
      </c>
      <c r="G12" s="14" t="s">
        <v>23</v>
      </c>
      <c r="H12" s="14">
        <v>1.0</v>
      </c>
      <c r="I12" s="14" t="s">
        <v>23</v>
      </c>
      <c r="J12" s="14">
        <v>1.0</v>
      </c>
      <c r="K12" s="14" t="s">
        <v>23</v>
      </c>
      <c r="L12" s="14">
        <v>1.0</v>
      </c>
      <c r="M12" s="14" t="s">
        <v>23</v>
      </c>
      <c r="N12" s="14" t="s">
        <v>23</v>
      </c>
      <c r="O12" s="14" t="s">
        <v>23</v>
      </c>
      <c r="P12" s="1"/>
      <c r="Q12" s="14" t="s">
        <v>23</v>
      </c>
      <c r="R12" s="15" t="s">
        <v>23</v>
      </c>
      <c r="S12" s="26">
        <f t="shared" si="1"/>
        <v>9</v>
      </c>
    </row>
    <row r="13">
      <c r="B13" s="12" t="s">
        <v>117</v>
      </c>
      <c r="C13" s="13" t="s">
        <v>118</v>
      </c>
      <c r="D13" s="14">
        <v>1.0</v>
      </c>
      <c r="E13" s="14">
        <v>1.0</v>
      </c>
      <c r="F13" s="14">
        <v>1.0</v>
      </c>
      <c r="G13" s="14">
        <v>1.0</v>
      </c>
      <c r="H13" s="14" t="s">
        <v>23</v>
      </c>
      <c r="I13" s="14">
        <v>1.0</v>
      </c>
      <c r="J13" s="14" t="s">
        <v>23</v>
      </c>
      <c r="K13" s="14">
        <v>1.0</v>
      </c>
      <c r="L13" s="14" t="s">
        <v>23</v>
      </c>
      <c r="M13" s="14" t="s">
        <v>23</v>
      </c>
      <c r="N13" s="14" t="s">
        <v>23</v>
      </c>
      <c r="O13" s="14">
        <v>1.0</v>
      </c>
      <c r="P13" s="14"/>
      <c r="Q13" s="14">
        <v>1.0</v>
      </c>
      <c r="R13" s="15" t="s">
        <v>23</v>
      </c>
      <c r="S13" s="26">
        <f t="shared" si="1"/>
        <v>6</v>
      </c>
    </row>
    <row r="14">
      <c r="B14" s="12" t="s">
        <v>119</v>
      </c>
      <c r="C14" s="13" t="s">
        <v>120</v>
      </c>
      <c r="D14" s="14">
        <v>1.0</v>
      </c>
      <c r="E14" s="14" t="s">
        <v>23</v>
      </c>
      <c r="F14" s="14">
        <v>1.0</v>
      </c>
      <c r="G14" s="14" t="s">
        <v>23</v>
      </c>
      <c r="H14" s="14">
        <v>1.0</v>
      </c>
      <c r="I14" s="14">
        <v>1.0</v>
      </c>
      <c r="J14" s="14" t="s">
        <v>23</v>
      </c>
      <c r="K14" s="14" t="s">
        <v>23</v>
      </c>
      <c r="L14" s="14">
        <v>1.0</v>
      </c>
      <c r="M14" s="14" t="s">
        <v>23</v>
      </c>
      <c r="N14" s="14">
        <v>1.0</v>
      </c>
      <c r="O14" s="14">
        <v>1.0</v>
      </c>
      <c r="P14" s="14">
        <v>1.0</v>
      </c>
      <c r="Q14" s="14">
        <v>1.0</v>
      </c>
      <c r="R14" s="15" t="s">
        <v>23</v>
      </c>
      <c r="S14" s="26">
        <f t="shared" si="1"/>
        <v>6</v>
      </c>
    </row>
    <row r="15">
      <c r="B15" s="12" t="s">
        <v>121</v>
      </c>
      <c r="C15" s="13" t="s">
        <v>122</v>
      </c>
      <c r="D15" s="14">
        <v>1.0</v>
      </c>
      <c r="E15" s="14">
        <v>1.0</v>
      </c>
      <c r="F15" s="14">
        <v>1.0</v>
      </c>
      <c r="G15" s="14">
        <v>1.0</v>
      </c>
      <c r="H15" s="14">
        <v>1.0</v>
      </c>
      <c r="I15" s="14">
        <v>1.0</v>
      </c>
      <c r="J15" s="14">
        <v>1.0</v>
      </c>
      <c r="K15" s="14">
        <v>1.0</v>
      </c>
      <c r="L15" s="14">
        <v>1.0</v>
      </c>
      <c r="M15" s="14">
        <v>1.0</v>
      </c>
      <c r="N15" s="14">
        <v>1.0</v>
      </c>
      <c r="O15" s="14">
        <v>1.0</v>
      </c>
      <c r="P15" s="14">
        <v>1.0</v>
      </c>
      <c r="Q15" s="14">
        <v>1.0</v>
      </c>
      <c r="R15" s="15">
        <v>1.0</v>
      </c>
      <c r="S15" s="26">
        <f t="shared" si="1"/>
        <v>0</v>
      </c>
    </row>
    <row r="16">
      <c r="B16" s="12" t="s">
        <v>123</v>
      </c>
      <c r="C16" s="13" t="s">
        <v>124</v>
      </c>
      <c r="D16" s="14">
        <v>1.0</v>
      </c>
      <c r="E16" s="14">
        <v>1.0</v>
      </c>
      <c r="F16" s="14">
        <v>1.0</v>
      </c>
      <c r="G16" s="14">
        <v>1.0</v>
      </c>
      <c r="H16" s="14" t="s">
        <v>23</v>
      </c>
      <c r="I16" s="14">
        <v>1.0</v>
      </c>
      <c r="J16" s="14">
        <v>1.0</v>
      </c>
      <c r="K16" s="14">
        <v>1.0</v>
      </c>
      <c r="L16" s="14">
        <v>1.0</v>
      </c>
      <c r="M16" s="14">
        <v>1.0</v>
      </c>
      <c r="N16" s="14">
        <v>1.0</v>
      </c>
      <c r="O16" s="14">
        <v>1.0</v>
      </c>
      <c r="P16" s="14"/>
      <c r="Q16" s="14" t="s">
        <v>23</v>
      </c>
      <c r="R16" s="15">
        <v>1.0</v>
      </c>
      <c r="S16" s="26">
        <f t="shared" si="1"/>
        <v>2</v>
      </c>
    </row>
    <row r="17">
      <c r="B17" s="12" t="s">
        <v>125</v>
      </c>
      <c r="C17" s="13" t="s">
        <v>126</v>
      </c>
      <c r="D17" s="14">
        <v>1.0</v>
      </c>
      <c r="E17" s="14" t="s">
        <v>23</v>
      </c>
      <c r="F17" s="14">
        <v>1.0</v>
      </c>
      <c r="G17" s="14" t="s">
        <v>23</v>
      </c>
      <c r="H17" s="14">
        <v>1.0</v>
      </c>
      <c r="I17" s="14" t="s">
        <v>23</v>
      </c>
      <c r="J17" s="14">
        <v>1.0</v>
      </c>
      <c r="K17" s="14">
        <v>1.0</v>
      </c>
      <c r="L17" s="14">
        <v>1.0</v>
      </c>
      <c r="M17" s="14" t="s">
        <v>23</v>
      </c>
      <c r="N17" s="14" t="s">
        <v>23</v>
      </c>
      <c r="O17" s="14">
        <v>1.0</v>
      </c>
      <c r="P17" s="14">
        <v>1.0</v>
      </c>
      <c r="Q17" s="14" t="s">
        <v>23</v>
      </c>
      <c r="R17" s="15">
        <v>1.0</v>
      </c>
      <c r="S17" s="26">
        <f t="shared" si="1"/>
        <v>6</v>
      </c>
    </row>
    <row r="18">
      <c r="B18" s="12" t="s">
        <v>127</v>
      </c>
      <c r="C18" s="13" t="s">
        <v>128</v>
      </c>
      <c r="D18" s="14">
        <v>1.0</v>
      </c>
      <c r="E18" s="14">
        <v>1.0</v>
      </c>
      <c r="F18" s="14">
        <v>1.0</v>
      </c>
      <c r="G18" s="14">
        <v>1.0</v>
      </c>
      <c r="H18" s="14">
        <v>1.0</v>
      </c>
      <c r="I18" s="14">
        <v>1.0</v>
      </c>
      <c r="J18" s="14">
        <v>1.0</v>
      </c>
      <c r="K18" s="14">
        <v>1.0</v>
      </c>
      <c r="L18" s="14">
        <v>1.0</v>
      </c>
      <c r="M18" s="14">
        <v>1.0</v>
      </c>
      <c r="N18" s="14">
        <v>1.0</v>
      </c>
      <c r="O18" s="14">
        <v>1.0</v>
      </c>
      <c r="P18" s="14">
        <v>1.0</v>
      </c>
      <c r="Q18" s="14">
        <v>1.0</v>
      </c>
      <c r="R18" s="15">
        <v>1.0</v>
      </c>
      <c r="S18" s="26">
        <f t="shared" si="1"/>
        <v>0</v>
      </c>
    </row>
    <row r="19">
      <c r="B19" s="12" t="s">
        <v>129</v>
      </c>
      <c r="C19" s="13" t="s">
        <v>130</v>
      </c>
      <c r="D19" s="14">
        <v>1.0</v>
      </c>
      <c r="E19" s="14">
        <v>1.0</v>
      </c>
      <c r="F19" s="14">
        <v>1.0</v>
      </c>
      <c r="G19" s="14" t="s">
        <v>23</v>
      </c>
      <c r="H19" s="14">
        <v>1.0</v>
      </c>
      <c r="I19" s="14">
        <v>1.0</v>
      </c>
      <c r="J19" s="14">
        <v>1.0</v>
      </c>
      <c r="K19" s="14">
        <v>1.0</v>
      </c>
      <c r="L19" s="14" t="s">
        <v>23</v>
      </c>
      <c r="M19" s="14">
        <v>1.0</v>
      </c>
      <c r="N19" s="14" t="s">
        <v>23</v>
      </c>
      <c r="O19" s="14">
        <v>1.0</v>
      </c>
      <c r="P19" s="14">
        <v>1.0</v>
      </c>
      <c r="Q19" s="14">
        <v>1.0</v>
      </c>
      <c r="R19" s="15">
        <v>1.0</v>
      </c>
      <c r="S19" s="26">
        <f t="shared" si="1"/>
        <v>3</v>
      </c>
    </row>
    <row r="20">
      <c r="B20" s="12" t="s">
        <v>131</v>
      </c>
      <c r="C20" s="13" t="s">
        <v>132</v>
      </c>
      <c r="D20" s="14">
        <v>1.0</v>
      </c>
      <c r="E20" s="14">
        <v>1.0</v>
      </c>
      <c r="F20" s="14">
        <v>1.0</v>
      </c>
      <c r="G20" s="14">
        <v>1.0</v>
      </c>
      <c r="H20" s="14">
        <v>1.0</v>
      </c>
      <c r="I20" s="14" t="s">
        <v>23</v>
      </c>
      <c r="J20" s="14">
        <v>1.0</v>
      </c>
      <c r="K20" s="14">
        <v>1.0</v>
      </c>
      <c r="L20" s="14">
        <v>1.0</v>
      </c>
      <c r="M20" s="14">
        <v>1.0</v>
      </c>
      <c r="N20" s="14">
        <v>1.0</v>
      </c>
      <c r="O20" s="14">
        <v>1.0</v>
      </c>
      <c r="P20" s="14">
        <v>1.0</v>
      </c>
      <c r="Q20" s="14">
        <v>1.0</v>
      </c>
      <c r="R20" s="15">
        <v>1.0</v>
      </c>
      <c r="S20" s="26">
        <f t="shared" si="1"/>
        <v>1</v>
      </c>
    </row>
    <row r="21">
      <c r="B21" s="12" t="s">
        <v>133</v>
      </c>
      <c r="C21" s="13" t="s">
        <v>134</v>
      </c>
      <c r="D21" s="14">
        <v>1.0</v>
      </c>
      <c r="E21" s="14">
        <v>1.0</v>
      </c>
      <c r="F21" s="14">
        <v>1.0</v>
      </c>
      <c r="G21" s="14">
        <v>1.0</v>
      </c>
      <c r="H21" s="14">
        <v>1.0</v>
      </c>
      <c r="I21" s="14" t="s">
        <v>23</v>
      </c>
      <c r="J21" s="14">
        <v>1.0</v>
      </c>
      <c r="K21" s="14">
        <v>1.0</v>
      </c>
      <c r="L21" s="14">
        <v>1.0</v>
      </c>
      <c r="M21" s="14" t="s">
        <v>23</v>
      </c>
      <c r="N21" s="14">
        <v>1.0</v>
      </c>
      <c r="O21" s="14">
        <v>1.0</v>
      </c>
      <c r="P21" s="14">
        <v>1.0</v>
      </c>
      <c r="Q21" s="14"/>
      <c r="R21" s="15">
        <v>1.0</v>
      </c>
      <c r="S21" s="26">
        <f t="shared" si="1"/>
        <v>2</v>
      </c>
    </row>
    <row r="22">
      <c r="B22" s="12" t="s">
        <v>135</v>
      </c>
      <c r="C22" s="13" t="s">
        <v>136</v>
      </c>
      <c r="D22" s="14">
        <v>1.0</v>
      </c>
      <c r="E22" s="14">
        <v>1.0</v>
      </c>
      <c r="F22" s="14">
        <v>1.0</v>
      </c>
      <c r="G22" s="14">
        <v>1.0</v>
      </c>
      <c r="H22" s="14">
        <v>1.0</v>
      </c>
      <c r="I22" s="14">
        <v>1.0</v>
      </c>
      <c r="J22" s="14">
        <v>1.0</v>
      </c>
      <c r="K22" s="14">
        <v>1.0</v>
      </c>
      <c r="L22" s="14">
        <v>1.0</v>
      </c>
      <c r="M22" s="14">
        <v>1.0</v>
      </c>
      <c r="N22" s="14">
        <v>1.0</v>
      </c>
      <c r="O22" s="14">
        <v>1.0</v>
      </c>
      <c r="P22" s="14">
        <v>1.0</v>
      </c>
      <c r="Q22" s="14">
        <v>1.0</v>
      </c>
      <c r="R22" s="15">
        <v>1.0</v>
      </c>
      <c r="S22" s="26">
        <f t="shared" si="1"/>
        <v>0</v>
      </c>
    </row>
    <row r="23">
      <c r="A23" s="15" t="s">
        <v>137</v>
      </c>
      <c r="B23" s="12" t="s">
        <v>138</v>
      </c>
      <c r="C23" s="13" t="s">
        <v>139</v>
      </c>
      <c r="D23" s="14">
        <v>1.0</v>
      </c>
      <c r="E23" s="14" t="s">
        <v>23</v>
      </c>
      <c r="F23" s="14">
        <v>1.0</v>
      </c>
      <c r="G23" s="14">
        <v>1.0</v>
      </c>
      <c r="H23" s="14">
        <v>1.0</v>
      </c>
      <c r="I23" s="14">
        <v>1.0</v>
      </c>
      <c r="J23" s="14">
        <v>1.0</v>
      </c>
      <c r="K23" s="14">
        <v>1.0</v>
      </c>
      <c r="L23" s="14">
        <v>1.0</v>
      </c>
      <c r="M23" s="14">
        <v>1.0</v>
      </c>
      <c r="N23" s="14">
        <v>1.0</v>
      </c>
      <c r="O23" s="14" t="s">
        <v>23</v>
      </c>
      <c r="P23" s="14">
        <v>1.0</v>
      </c>
      <c r="Q23" s="14">
        <v>1.0</v>
      </c>
      <c r="R23" s="15">
        <v>1.0</v>
      </c>
      <c r="S23" s="26">
        <f t="shared" si="1"/>
        <v>2</v>
      </c>
    </row>
    <row r="24">
      <c r="B24" s="12" t="s">
        <v>140</v>
      </c>
      <c r="C24" s="13" t="s">
        <v>141</v>
      </c>
      <c r="D24" s="14">
        <v>1.0</v>
      </c>
      <c r="E24" s="14">
        <v>1.0</v>
      </c>
      <c r="F24" s="14">
        <v>1.0</v>
      </c>
      <c r="G24" s="14">
        <v>1.0</v>
      </c>
      <c r="H24" s="14">
        <v>1.0</v>
      </c>
      <c r="I24" s="14">
        <v>1.0</v>
      </c>
      <c r="J24" s="14">
        <v>1.0</v>
      </c>
      <c r="K24" s="14">
        <v>1.0</v>
      </c>
      <c r="L24" s="14">
        <v>1.0</v>
      </c>
      <c r="M24" s="14">
        <v>1.0</v>
      </c>
      <c r="N24" s="14">
        <v>1.0</v>
      </c>
      <c r="O24" s="14" t="s">
        <v>23</v>
      </c>
      <c r="P24" s="14">
        <v>1.0</v>
      </c>
      <c r="Q24" s="14">
        <v>1.0</v>
      </c>
      <c r="R24" s="15">
        <v>1.0</v>
      </c>
      <c r="S24" s="26">
        <f t="shared" si="1"/>
        <v>1</v>
      </c>
    </row>
    <row r="25">
      <c r="B25" s="12" t="s">
        <v>142</v>
      </c>
      <c r="C25" s="13" t="s">
        <v>143</v>
      </c>
      <c r="D25" s="14">
        <v>1.0</v>
      </c>
      <c r="E25" s="14">
        <v>1.0</v>
      </c>
      <c r="F25" s="14">
        <v>1.0</v>
      </c>
      <c r="G25" s="14">
        <v>1.0</v>
      </c>
      <c r="H25" s="14">
        <v>1.0</v>
      </c>
      <c r="I25" s="14">
        <v>1.0</v>
      </c>
      <c r="J25" s="14">
        <v>1.0</v>
      </c>
      <c r="K25" s="14">
        <v>1.0</v>
      </c>
      <c r="L25" s="14" t="s">
        <v>23</v>
      </c>
      <c r="M25" s="14" t="s">
        <v>23</v>
      </c>
      <c r="N25" s="14">
        <v>1.0</v>
      </c>
      <c r="O25" s="14">
        <v>1.0</v>
      </c>
      <c r="P25" s="14">
        <v>1.0</v>
      </c>
      <c r="Q25" s="14">
        <v>1.0</v>
      </c>
      <c r="R25" s="15">
        <v>1.0</v>
      </c>
      <c r="S25" s="26">
        <f t="shared" si="1"/>
        <v>2</v>
      </c>
    </row>
    <row r="26">
      <c r="B26" s="12" t="s">
        <v>144</v>
      </c>
      <c r="C26" s="13" t="s">
        <v>145</v>
      </c>
      <c r="D26" s="14">
        <v>1.0</v>
      </c>
      <c r="E26" s="14" t="s">
        <v>23</v>
      </c>
      <c r="F26" s="14">
        <v>1.0</v>
      </c>
      <c r="G26" s="14">
        <v>1.0</v>
      </c>
      <c r="H26" s="14">
        <v>1.0</v>
      </c>
      <c r="I26" s="14" t="s">
        <v>23</v>
      </c>
      <c r="J26" s="14">
        <v>1.0</v>
      </c>
      <c r="K26" s="14" t="s">
        <v>23</v>
      </c>
      <c r="L26" s="14" t="s">
        <v>23</v>
      </c>
      <c r="M26" s="14">
        <v>1.0</v>
      </c>
      <c r="N26" s="14">
        <v>1.0</v>
      </c>
      <c r="O26" s="14">
        <v>1.0</v>
      </c>
      <c r="P26" s="14">
        <v>1.0</v>
      </c>
      <c r="Q26" s="14">
        <v>1.0</v>
      </c>
      <c r="R26" s="15" t="s">
        <v>23</v>
      </c>
      <c r="S26" s="26">
        <f t="shared" si="1"/>
        <v>5</v>
      </c>
    </row>
    <row r="27">
      <c r="B27" s="12" t="s">
        <v>146</v>
      </c>
      <c r="C27" s="13" t="s">
        <v>147</v>
      </c>
      <c r="D27" s="14">
        <v>1.0</v>
      </c>
      <c r="E27" s="14">
        <v>1.0</v>
      </c>
      <c r="F27" s="14">
        <v>1.0</v>
      </c>
      <c r="G27" s="14">
        <v>1.0</v>
      </c>
      <c r="H27" s="14">
        <v>1.0</v>
      </c>
      <c r="I27" s="14" t="s">
        <v>23</v>
      </c>
      <c r="J27" s="14">
        <v>1.0</v>
      </c>
      <c r="K27" s="14">
        <v>1.0</v>
      </c>
      <c r="L27" s="14">
        <v>1.0</v>
      </c>
      <c r="M27" s="14" t="s">
        <v>23</v>
      </c>
      <c r="N27" s="14">
        <v>1.0</v>
      </c>
      <c r="O27" s="14">
        <v>1.0</v>
      </c>
      <c r="P27" s="14">
        <v>1.0</v>
      </c>
      <c r="Q27" s="14">
        <v>1.0</v>
      </c>
      <c r="R27" s="15">
        <v>1.0</v>
      </c>
      <c r="S27" s="26">
        <f t="shared" si="1"/>
        <v>2</v>
      </c>
    </row>
    <row r="28">
      <c r="B28" s="12" t="s">
        <v>148</v>
      </c>
      <c r="C28" s="13" t="s">
        <v>149</v>
      </c>
      <c r="D28" s="14">
        <v>1.0</v>
      </c>
      <c r="E28" s="14">
        <v>1.0</v>
      </c>
      <c r="F28" s="14">
        <v>1.0</v>
      </c>
      <c r="G28" s="14">
        <v>1.0</v>
      </c>
      <c r="H28" s="14">
        <v>1.0</v>
      </c>
      <c r="I28" s="14">
        <v>1.0</v>
      </c>
      <c r="J28" s="14">
        <v>1.0</v>
      </c>
      <c r="K28" s="14">
        <v>1.0</v>
      </c>
      <c r="L28" s="14">
        <v>1.0</v>
      </c>
      <c r="M28" s="14">
        <v>1.0</v>
      </c>
      <c r="N28" s="14">
        <v>1.0</v>
      </c>
      <c r="O28" s="14">
        <v>1.0</v>
      </c>
      <c r="P28" s="14">
        <v>1.0</v>
      </c>
      <c r="Q28" s="14">
        <v>1.0</v>
      </c>
      <c r="R28" s="15">
        <v>1.0</v>
      </c>
      <c r="S28" s="26">
        <f t="shared" si="1"/>
        <v>0</v>
      </c>
    </row>
    <row r="29">
      <c r="B29" s="12" t="s">
        <v>150</v>
      </c>
      <c r="C29" s="13" t="s">
        <v>151</v>
      </c>
      <c r="D29" s="14">
        <v>1.0</v>
      </c>
      <c r="E29" s="14">
        <v>1.0</v>
      </c>
      <c r="F29" s="14">
        <v>1.0</v>
      </c>
      <c r="G29" s="14">
        <v>1.0</v>
      </c>
      <c r="H29" s="14">
        <v>1.0</v>
      </c>
      <c r="I29" s="14">
        <v>1.0</v>
      </c>
      <c r="J29" s="14">
        <v>1.0</v>
      </c>
      <c r="K29" s="14">
        <v>1.0</v>
      </c>
      <c r="L29" s="14">
        <v>1.0</v>
      </c>
      <c r="M29" s="14">
        <v>1.0</v>
      </c>
      <c r="N29" s="14">
        <v>1.0</v>
      </c>
      <c r="O29" s="14">
        <v>1.0</v>
      </c>
      <c r="P29" s="14">
        <v>1.0</v>
      </c>
      <c r="Q29" s="14">
        <v>1.0</v>
      </c>
      <c r="R29" s="15">
        <v>1.0</v>
      </c>
      <c r="S29" s="26">
        <f t="shared" si="1"/>
        <v>0</v>
      </c>
    </row>
    <row r="30">
      <c r="B30" s="12" t="s">
        <v>152</v>
      </c>
      <c r="C30" s="13" t="s">
        <v>153</v>
      </c>
      <c r="D30" s="14">
        <v>1.0</v>
      </c>
      <c r="E30" s="14">
        <v>1.0</v>
      </c>
      <c r="F30" s="14">
        <v>1.0</v>
      </c>
      <c r="G30" s="14">
        <v>1.0</v>
      </c>
      <c r="H30" s="14">
        <v>1.0</v>
      </c>
      <c r="I30" s="14">
        <v>1.0</v>
      </c>
      <c r="J30" s="14">
        <v>1.0</v>
      </c>
      <c r="K30" s="14">
        <v>1.0</v>
      </c>
      <c r="L30" s="14">
        <v>1.0</v>
      </c>
      <c r="M30" s="14">
        <v>1.0</v>
      </c>
      <c r="N30" s="14">
        <v>1.0</v>
      </c>
      <c r="O30" s="14">
        <v>1.0</v>
      </c>
      <c r="P30" s="14">
        <v>1.0</v>
      </c>
      <c r="Q30" s="14">
        <v>1.0</v>
      </c>
      <c r="R30" s="15">
        <v>1.0</v>
      </c>
      <c r="S30" s="26">
        <f t="shared" si="1"/>
        <v>0</v>
      </c>
    </row>
    <row r="31">
      <c r="B31" s="12" t="s">
        <v>154</v>
      </c>
      <c r="C31" s="13" t="s">
        <v>155</v>
      </c>
      <c r="D31" s="14">
        <v>1.0</v>
      </c>
      <c r="E31" s="14">
        <v>1.0</v>
      </c>
      <c r="F31" s="14">
        <v>1.0</v>
      </c>
      <c r="G31" s="14">
        <v>1.0</v>
      </c>
      <c r="H31" s="14">
        <v>1.0</v>
      </c>
      <c r="I31" s="14" t="s">
        <v>23</v>
      </c>
      <c r="J31" s="14">
        <v>1.0</v>
      </c>
      <c r="K31" s="14">
        <v>1.0</v>
      </c>
      <c r="L31" s="14" t="s">
        <v>23</v>
      </c>
      <c r="M31" s="14" t="s">
        <v>23</v>
      </c>
      <c r="N31" s="14">
        <v>1.0</v>
      </c>
      <c r="O31" s="14" t="s">
        <v>23</v>
      </c>
      <c r="P31" s="14">
        <v>1.0</v>
      </c>
      <c r="Q31" s="14">
        <v>1.0</v>
      </c>
      <c r="R31" s="15">
        <v>1.0</v>
      </c>
      <c r="S31" s="26">
        <f t="shared" si="1"/>
        <v>4</v>
      </c>
    </row>
    <row r="32">
      <c r="B32" s="12" t="s">
        <v>156</v>
      </c>
      <c r="C32" s="13" t="s">
        <v>157</v>
      </c>
      <c r="D32" s="14">
        <v>1.0</v>
      </c>
      <c r="E32" s="14">
        <v>1.0</v>
      </c>
      <c r="F32" s="14">
        <v>1.0</v>
      </c>
      <c r="G32" s="14">
        <v>1.0</v>
      </c>
      <c r="H32" s="14">
        <v>1.0</v>
      </c>
      <c r="I32" s="14">
        <v>1.0</v>
      </c>
      <c r="J32" s="14">
        <v>1.0</v>
      </c>
      <c r="K32" s="14">
        <v>1.0</v>
      </c>
      <c r="L32" s="14" t="s">
        <v>23</v>
      </c>
      <c r="M32" s="14">
        <v>1.0</v>
      </c>
      <c r="N32" s="14">
        <v>1.0</v>
      </c>
      <c r="O32" s="14">
        <v>1.0</v>
      </c>
      <c r="P32" s="14">
        <v>1.0</v>
      </c>
      <c r="Q32" s="14">
        <v>1.0</v>
      </c>
      <c r="R32" s="15" t="s">
        <v>23</v>
      </c>
      <c r="S32" s="26">
        <f t="shared" si="1"/>
        <v>2</v>
      </c>
    </row>
    <row r="33">
      <c r="A33" s="15" t="s">
        <v>137</v>
      </c>
      <c r="B33" s="12" t="s">
        <v>158</v>
      </c>
      <c r="C33" s="13" t="s">
        <v>159</v>
      </c>
      <c r="D33" s="14">
        <v>1.0</v>
      </c>
      <c r="E33" s="14">
        <v>1.0</v>
      </c>
      <c r="F33" s="14">
        <v>1.0</v>
      </c>
      <c r="G33" s="14">
        <v>1.0</v>
      </c>
      <c r="H33" s="14">
        <v>1.0</v>
      </c>
      <c r="I33" s="14" t="s">
        <v>23</v>
      </c>
      <c r="J33" s="14">
        <v>1.0</v>
      </c>
      <c r="K33" s="14">
        <v>1.0</v>
      </c>
      <c r="L33" s="14">
        <v>1.0</v>
      </c>
      <c r="M33" s="14">
        <v>1.0</v>
      </c>
      <c r="N33" s="14">
        <v>1.0</v>
      </c>
      <c r="O33" s="14">
        <v>1.0</v>
      </c>
      <c r="P33" s="14">
        <v>1.0</v>
      </c>
      <c r="Q33" s="14">
        <v>1.0</v>
      </c>
      <c r="R33" s="15">
        <v>1.0</v>
      </c>
      <c r="S33" s="26">
        <f t="shared" si="1"/>
        <v>1</v>
      </c>
    </row>
    <row r="34">
      <c r="B34" s="12" t="s">
        <v>160</v>
      </c>
      <c r="C34" s="13" t="s">
        <v>161</v>
      </c>
      <c r="D34" s="14">
        <v>1.0</v>
      </c>
      <c r="E34" s="14">
        <v>1.0</v>
      </c>
      <c r="F34" s="14">
        <v>1.0</v>
      </c>
      <c r="G34" s="14">
        <v>1.0</v>
      </c>
      <c r="H34" s="14">
        <v>1.0</v>
      </c>
      <c r="I34" s="14">
        <v>1.0</v>
      </c>
      <c r="J34" s="14">
        <v>1.0</v>
      </c>
      <c r="K34" s="14">
        <v>1.0</v>
      </c>
      <c r="L34" s="14" t="s">
        <v>23</v>
      </c>
      <c r="M34" s="14" t="s">
        <v>23</v>
      </c>
      <c r="N34" s="14">
        <v>1.0</v>
      </c>
      <c r="O34" s="14">
        <v>1.0</v>
      </c>
      <c r="P34" s="14">
        <v>1.0</v>
      </c>
      <c r="Q34" s="14">
        <v>1.0</v>
      </c>
      <c r="R34" s="15">
        <v>1.0</v>
      </c>
      <c r="S34" s="26">
        <f t="shared" si="1"/>
        <v>2</v>
      </c>
    </row>
    <row r="35">
      <c r="B35" s="12" t="s">
        <v>162</v>
      </c>
      <c r="C35" s="13" t="s">
        <v>163</v>
      </c>
      <c r="D35" s="14">
        <v>1.0</v>
      </c>
      <c r="E35" s="14">
        <v>1.0</v>
      </c>
      <c r="F35" s="14">
        <v>1.0</v>
      </c>
      <c r="G35" s="14">
        <v>1.0</v>
      </c>
      <c r="H35" s="14">
        <v>1.0</v>
      </c>
      <c r="I35" s="14">
        <v>1.0</v>
      </c>
      <c r="J35" s="14">
        <v>1.0</v>
      </c>
      <c r="K35" s="14">
        <v>1.0</v>
      </c>
      <c r="L35" s="14">
        <v>1.0</v>
      </c>
      <c r="M35" s="14">
        <v>1.0</v>
      </c>
      <c r="N35" s="14">
        <v>1.0</v>
      </c>
      <c r="O35" s="14">
        <v>1.0</v>
      </c>
      <c r="P35" s="1"/>
      <c r="Q35" s="14">
        <v>1.0</v>
      </c>
      <c r="R35" s="15">
        <v>1.0</v>
      </c>
      <c r="S35" s="26">
        <f t="shared" si="1"/>
        <v>0</v>
      </c>
    </row>
    <row r="36">
      <c r="B36" s="12" t="s">
        <v>164</v>
      </c>
      <c r="C36" s="13" t="s">
        <v>165</v>
      </c>
      <c r="D36" s="14">
        <v>1.0</v>
      </c>
      <c r="E36" s="14">
        <v>1.0</v>
      </c>
      <c r="F36" s="14">
        <v>1.0</v>
      </c>
      <c r="G36" s="14">
        <v>1.0</v>
      </c>
      <c r="H36" s="14">
        <v>1.0</v>
      </c>
      <c r="I36" s="14">
        <v>1.0</v>
      </c>
      <c r="J36" s="14">
        <v>1.0</v>
      </c>
      <c r="K36" s="14">
        <v>1.0</v>
      </c>
      <c r="L36" s="14">
        <v>1.0</v>
      </c>
      <c r="M36" s="14">
        <v>1.0</v>
      </c>
      <c r="N36" s="14">
        <v>1.0</v>
      </c>
      <c r="O36" s="14">
        <v>1.0</v>
      </c>
      <c r="P36" s="14">
        <v>1.0</v>
      </c>
      <c r="Q36" s="14">
        <v>1.0</v>
      </c>
      <c r="R36" s="15">
        <v>1.0</v>
      </c>
      <c r="S36" s="26">
        <f t="shared" si="1"/>
        <v>0</v>
      </c>
    </row>
    <row r="37">
      <c r="B37" s="12" t="s">
        <v>166</v>
      </c>
      <c r="C37" s="13" t="s">
        <v>167</v>
      </c>
      <c r="D37" s="14">
        <v>1.0</v>
      </c>
      <c r="E37" s="14">
        <v>1.0</v>
      </c>
      <c r="F37" s="14">
        <v>1.0</v>
      </c>
      <c r="G37" s="14">
        <v>1.0</v>
      </c>
      <c r="H37" s="14">
        <v>1.0</v>
      </c>
      <c r="I37" s="14" t="s">
        <v>23</v>
      </c>
      <c r="J37" s="14">
        <v>1.0</v>
      </c>
      <c r="K37" s="14">
        <v>1.0</v>
      </c>
      <c r="L37" s="14">
        <v>1.0</v>
      </c>
      <c r="M37" s="14">
        <v>1.0</v>
      </c>
      <c r="N37" s="14">
        <v>1.0</v>
      </c>
      <c r="O37" s="14">
        <v>1.0</v>
      </c>
      <c r="P37" s="14">
        <v>1.0</v>
      </c>
      <c r="Q37" s="14">
        <v>1.0</v>
      </c>
      <c r="R37" s="15">
        <v>1.0</v>
      </c>
      <c r="S37" s="26">
        <f t="shared" si="1"/>
        <v>1</v>
      </c>
    </row>
    <row r="38">
      <c r="B38" s="12" t="s">
        <v>168</v>
      </c>
      <c r="C38" s="13" t="s">
        <v>169</v>
      </c>
      <c r="D38" s="14">
        <v>1.0</v>
      </c>
      <c r="E38" s="14">
        <v>1.0</v>
      </c>
      <c r="F38" s="14">
        <v>1.0</v>
      </c>
      <c r="G38" s="14">
        <v>1.0</v>
      </c>
      <c r="H38" s="14" t="s">
        <v>23</v>
      </c>
      <c r="I38" s="54">
        <v>1.0</v>
      </c>
      <c r="J38" s="14">
        <v>1.0</v>
      </c>
      <c r="K38" s="14">
        <v>1.0</v>
      </c>
      <c r="L38" s="14">
        <v>1.0</v>
      </c>
      <c r="M38" s="14" t="s">
        <v>23</v>
      </c>
      <c r="N38" s="14">
        <v>1.0</v>
      </c>
      <c r="O38" s="14" t="s">
        <v>23</v>
      </c>
      <c r="P38" s="14">
        <v>1.0</v>
      </c>
      <c r="Q38" s="14" t="s">
        <v>23</v>
      </c>
      <c r="R38" s="15">
        <v>1.0</v>
      </c>
      <c r="S38" s="26">
        <f t="shared" si="1"/>
        <v>4</v>
      </c>
    </row>
    <row r="39">
      <c r="B39" s="12" t="s">
        <v>170</v>
      </c>
      <c r="C39" s="13" t="s">
        <v>171</v>
      </c>
      <c r="D39" s="14">
        <v>1.0</v>
      </c>
      <c r="E39" s="14">
        <v>1.0</v>
      </c>
      <c r="F39" s="14">
        <v>1.0</v>
      </c>
      <c r="G39" s="14">
        <v>1.0</v>
      </c>
      <c r="H39" s="14">
        <v>1.0</v>
      </c>
      <c r="I39" s="14">
        <v>1.0</v>
      </c>
      <c r="J39" s="14">
        <v>1.0</v>
      </c>
      <c r="K39" s="14">
        <v>1.0</v>
      </c>
      <c r="L39" s="14">
        <v>1.0</v>
      </c>
      <c r="M39" s="14">
        <v>1.0</v>
      </c>
      <c r="N39" s="14">
        <v>1.0</v>
      </c>
      <c r="O39" s="14">
        <v>1.0</v>
      </c>
      <c r="P39" s="14">
        <v>1.0</v>
      </c>
      <c r="Q39" s="14">
        <v>1.0</v>
      </c>
      <c r="R39" s="15">
        <v>1.0</v>
      </c>
      <c r="S39" s="26">
        <f t="shared" si="1"/>
        <v>0</v>
      </c>
    </row>
    <row r="40">
      <c r="B40" s="12" t="s">
        <v>172</v>
      </c>
      <c r="C40" s="13" t="s">
        <v>173</v>
      </c>
      <c r="D40" s="14">
        <v>1.0</v>
      </c>
      <c r="E40" s="14">
        <v>1.0</v>
      </c>
      <c r="F40" s="14">
        <v>1.0</v>
      </c>
      <c r="G40" s="14">
        <v>1.0</v>
      </c>
      <c r="H40" s="14">
        <v>1.0</v>
      </c>
      <c r="I40" s="14">
        <v>1.0</v>
      </c>
      <c r="J40" s="14">
        <v>1.0</v>
      </c>
      <c r="K40" s="14">
        <v>1.0</v>
      </c>
      <c r="L40" s="14">
        <v>1.0</v>
      </c>
      <c r="M40" s="14">
        <v>1.0</v>
      </c>
      <c r="N40" s="14">
        <v>1.0</v>
      </c>
      <c r="O40" s="14">
        <v>1.0</v>
      </c>
      <c r="P40" s="14">
        <v>1.0</v>
      </c>
      <c r="Q40" s="14">
        <v>1.0</v>
      </c>
      <c r="R40" s="15">
        <v>1.0</v>
      </c>
      <c r="S40" s="26">
        <f t="shared" si="1"/>
        <v>0</v>
      </c>
    </row>
    <row r="41">
      <c r="B41" s="12" t="s">
        <v>174</v>
      </c>
      <c r="C41" s="13" t="s">
        <v>175</v>
      </c>
      <c r="D41" s="14">
        <v>1.0</v>
      </c>
      <c r="E41" s="14">
        <v>1.0</v>
      </c>
      <c r="F41" s="14">
        <v>1.0</v>
      </c>
      <c r="G41" s="14">
        <v>1.0</v>
      </c>
      <c r="H41" s="14">
        <v>1.0</v>
      </c>
      <c r="I41" s="14" t="s">
        <v>23</v>
      </c>
      <c r="J41" s="14">
        <v>1.0</v>
      </c>
      <c r="K41" s="14">
        <v>1.0</v>
      </c>
      <c r="L41" s="14">
        <v>1.0</v>
      </c>
      <c r="M41" s="14">
        <v>1.0</v>
      </c>
      <c r="N41" s="14">
        <v>1.0</v>
      </c>
      <c r="O41" s="14" t="s">
        <v>23</v>
      </c>
      <c r="P41" s="1"/>
      <c r="Q41" s="14" t="s">
        <v>23</v>
      </c>
      <c r="R41" s="15">
        <v>1.0</v>
      </c>
      <c r="S41" s="26">
        <f t="shared" si="1"/>
        <v>3</v>
      </c>
    </row>
    <row r="42"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S42" s="26">
        <f t="shared" si="1"/>
        <v>0</v>
      </c>
    </row>
    <row r="43">
      <c r="D43" s="26">
        <f t="shared" ref="D43:R43" si="2">COUNTIF(D3:D41,"A")</f>
        <v>3</v>
      </c>
      <c r="E43" s="26">
        <f t="shared" si="2"/>
        <v>7</v>
      </c>
      <c r="F43" s="26">
        <f t="shared" si="2"/>
        <v>5</v>
      </c>
      <c r="G43" s="26">
        <f t="shared" si="2"/>
        <v>7</v>
      </c>
      <c r="H43" s="26">
        <f t="shared" si="2"/>
        <v>7</v>
      </c>
      <c r="I43" s="26">
        <f t="shared" si="2"/>
        <v>16</v>
      </c>
      <c r="J43" s="26">
        <f t="shared" si="2"/>
        <v>7</v>
      </c>
      <c r="K43" s="26">
        <f t="shared" si="2"/>
        <v>9</v>
      </c>
      <c r="L43" s="26">
        <f t="shared" si="2"/>
        <v>10</v>
      </c>
      <c r="M43" s="26">
        <f t="shared" si="2"/>
        <v>14</v>
      </c>
      <c r="N43" s="26">
        <f t="shared" si="2"/>
        <v>8</v>
      </c>
      <c r="O43" s="26">
        <f t="shared" si="2"/>
        <v>11</v>
      </c>
      <c r="P43" s="26">
        <f t="shared" si="2"/>
        <v>2</v>
      </c>
      <c r="Q43" s="26">
        <f t="shared" si="2"/>
        <v>13</v>
      </c>
      <c r="R43" s="26">
        <f t="shared" si="2"/>
        <v>7</v>
      </c>
    </row>
    <row r="44"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>
      <c r="D48" s="1"/>
      <c r="E48" s="14"/>
      <c r="F48" s="14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>
      <c r="D49" s="1"/>
      <c r="E49" s="14"/>
      <c r="F49" s="14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>
      <c r="D50" s="1"/>
      <c r="E50" s="14"/>
      <c r="F50" s="14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>
      <c r="D51" s="1"/>
      <c r="E51" s="14"/>
      <c r="F51" s="14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>
      <c r="D52" s="1"/>
      <c r="E52" s="14"/>
      <c r="F52" s="14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>
      <c r="D53" s="1"/>
      <c r="E53" s="14"/>
      <c r="F53" s="14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>
      <c r="D54" s="1"/>
      <c r="E54" s="14"/>
      <c r="F54" s="14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>
      <c r="D55" s="1"/>
      <c r="E55" s="14"/>
      <c r="F55" s="14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>
      <c r="D56" s="1"/>
      <c r="E56" s="14"/>
      <c r="F56" s="14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>
      <c r="D57" s="1"/>
      <c r="E57" s="14"/>
      <c r="F57" s="14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>
      <c r="D58" s="1"/>
      <c r="E58" s="14"/>
      <c r="F58" s="14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>
      <c r="D59" s="1"/>
      <c r="E59" s="14"/>
      <c r="F59" s="14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>
      <c r="D60" s="1"/>
      <c r="E60" s="14"/>
      <c r="F60" s="14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>
      <c r="D61" s="1"/>
      <c r="E61" s="14"/>
      <c r="F61" s="14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>
      <c r="D62" s="1"/>
      <c r="E62" s="14"/>
      <c r="F62" s="14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>
      <c r="D63" s="1"/>
      <c r="E63" s="14"/>
      <c r="F63" s="14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>
      <c r="D64" s="1"/>
      <c r="E64" s="14"/>
      <c r="F64" s="14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>
      <c r="D65" s="1"/>
      <c r="E65" s="14"/>
      <c r="F65" s="14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>
      <c r="D66" s="1"/>
      <c r="E66" s="14"/>
      <c r="F66" s="14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>
      <c r="D67" s="1"/>
      <c r="E67" s="14"/>
      <c r="F67" s="14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>
      <c r="D68" s="1"/>
      <c r="E68" s="14"/>
      <c r="F68" s="14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>
      <c r="D69" s="1"/>
      <c r="E69" s="14"/>
      <c r="F69" s="14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>
      <c r="D70" s="1"/>
      <c r="E70" s="14"/>
      <c r="F70" s="14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>
      <c r="D71" s="1"/>
      <c r="E71" s="14"/>
      <c r="F71" s="14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>
      <c r="D72" s="1"/>
      <c r="E72" s="14"/>
      <c r="F72" s="14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>
      <c r="D73" s="1"/>
      <c r="E73" s="14"/>
      <c r="F73" s="14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>
      <c r="D74" s="1"/>
      <c r="E74" s="14"/>
      <c r="F74" s="1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>
      <c r="D75" s="1"/>
      <c r="E75" s="14"/>
      <c r="F75" s="14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>
      <c r="D76" s="1"/>
      <c r="E76" s="14"/>
      <c r="F76" s="14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>
      <c r="D77" s="1"/>
      <c r="E77" s="14"/>
      <c r="F77" s="14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>
      <c r="D78" s="1"/>
      <c r="E78" s="14"/>
      <c r="F78" s="14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>
      <c r="D79" s="1"/>
      <c r="E79" s="14"/>
      <c r="F79" s="14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>
      <c r="D80" s="1"/>
      <c r="E80" s="14"/>
      <c r="F80" s="14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>
      <c r="D81" s="1"/>
      <c r="E81" s="14"/>
      <c r="F81" s="14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>
      <c r="D82" s="1"/>
      <c r="E82" s="14"/>
      <c r="F82" s="14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>
      <c r="D83" s="1"/>
      <c r="E83" s="14"/>
      <c r="F83" s="14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>
      <c r="D84" s="1"/>
      <c r="E84" s="14"/>
      <c r="F84" s="14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>
      <c r="D85" s="1"/>
      <c r="E85" s="14"/>
      <c r="F85" s="14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>
      <c r="D86" s="1"/>
      <c r="E86" s="14"/>
      <c r="F86" s="14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</row>
    <row r="999"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</row>
    <row r="1000"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</row>
  </sheetData>
  <conditionalFormatting sqref="D3:R41 S3:S42">
    <cfRule type="containsText" dxfId="3" priority="1" operator="containsText" text="A">
      <formula>NOT(ISERROR(SEARCH(("A"),(D3))))</formula>
    </cfRule>
  </conditionalFormatting>
  <conditionalFormatting sqref="S3:S41">
    <cfRule type="cellIs" dxfId="3" priority="2" operator="greaterThanOrEqual">
      <formula>9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75"/>
    <col customWidth="1" min="4" max="7" width="6.38"/>
    <col customWidth="1" min="8" max="8" width="7.25"/>
    <col customWidth="1" min="9" max="9" width="11.38"/>
    <col customWidth="1" min="10" max="13" width="6.38"/>
  </cols>
  <sheetData>
    <row r="5">
      <c r="D5" s="20"/>
    </row>
    <row r="6">
      <c r="B6" s="6" t="s">
        <v>7</v>
      </c>
      <c r="C6" s="6" t="s">
        <v>10</v>
      </c>
      <c r="D6" s="6" t="s">
        <v>43</v>
      </c>
      <c r="E6" s="6" t="s">
        <v>45</v>
      </c>
      <c r="F6" s="6" t="s">
        <v>46</v>
      </c>
      <c r="G6" s="6" t="s">
        <v>48</v>
      </c>
      <c r="H6" s="24" t="s">
        <v>51</v>
      </c>
      <c r="I6" s="28" t="s">
        <v>57</v>
      </c>
      <c r="J6" s="6" t="s">
        <v>66</v>
      </c>
      <c r="K6" s="6" t="s">
        <v>68</v>
      </c>
      <c r="L6" s="6" t="s">
        <v>69</v>
      </c>
      <c r="M6" s="6" t="s">
        <v>70</v>
      </c>
      <c r="N6" s="33" t="s">
        <v>72</v>
      </c>
      <c r="O6" s="37" t="s">
        <v>74</v>
      </c>
      <c r="P6" s="47" t="s">
        <v>106</v>
      </c>
      <c r="Q6" s="2"/>
      <c r="R6" s="49" t="s">
        <v>107</v>
      </c>
      <c r="S6" s="15" t="s">
        <v>108</v>
      </c>
    </row>
    <row r="7">
      <c r="B7" s="58" t="s">
        <v>18</v>
      </c>
      <c r="C7" s="36" t="s">
        <v>22</v>
      </c>
      <c r="D7" s="59">
        <v>0.0</v>
      </c>
      <c r="E7" s="59">
        <v>8.0</v>
      </c>
      <c r="F7" s="59">
        <v>11.0</v>
      </c>
      <c r="G7" s="59">
        <v>8.5</v>
      </c>
      <c r="H7" s="59">
        <v>0.0</v>
      </c>
      <c r="I7" s="64">
        <f t="shared" ref="I7:I45" si="1">round(SUMPRODUCT(large(D7:H7,{1,2,3}))/3,2)</f>
        <v>9.17</v>
      </c>
      <c r="J7" s="59">
        <v>10.0</v>
      </c>
      <c r="K7" s="59">
        <v>10.0</v>
      </c>
      <c r="L7" s="38">
        <v>10.0</v>
      </c>
      <c r="M7" s="38">
        <v>10.0</v>
      </c>
      <c r="N7" s="38">
        <f t="shared" ref="N7:N45" si="2">AVERAGE(J7:M7)</f>
        <v>10</v>
      </c>
      <c r="O7" s="64">
        <v>8.924999999999999</v>
      </c>
      <c r="P7" s="65">
        <v>14.35</v>
      </c>
      <c r="Q7" s="64"/>
      <c r="R7" s="65">
        <f>I7+N7+O7+P7</f>
        <v>42.445</v>
      </c>
      <c r="S7" s="59">
        <v>42.0</v>
      </c>
    </row>
    <row r="8">
      <c r="B8" s="66" t="s">
        <v>64</v>
      </c>
      <c r="C8" s="67" t="s">
        <v>71</v>
      </c>
      <c r="D8" s="59">
        <v>3.5</v>
      </c>
      <c r="E8" s="59">
        <v>0.0</v>
      </c>
      <c r="F8" s="59">
        <v>12.0</v>
      </c>
      <c r="G8" s="59">
        <v>15.0</v>
      </c>
      <c r="H8" s="59">
        <v>13.0</v>
      </c>
      <c r="I8" s="64">
        <f t="shared" si="1"/>
        <v>13.33</v>
      </c>
      <c r="J8" s="59">
        <v>10.0</v>
      </c>
      <c r="K8" s="59">
        <v>10.0</v>
      </c>
      <c r="L8" s="51">
        <v>10.0</v>
      </c>
      <c r="M8" s="51">
        <v>10.0</v>
      </c>
      <c r="N8" s="51">
        <f t="shared" si="2"/>
        <v>10</v>
      </c>
      <c r="O8" s="64">
        <v>16.099999999999998</v>
      </c>
      <c r="P8" s="69" t="s">
        <v>176</v>
      </c>
      <c r="Q8" s="64"/>
      <c r="R8" s="65">
        <v>39.42999999999999</v>
      </c>
      <c r="S8" s="59">
        <v>39.0</v>
      </c>
      <c r="T8" s="71" t="s">
        <v>178</v>
      </c>
    </row>
    <row r="9">
      <c r="A9" s="15" t="s">
        <v>180</v>
      </c>
      <c r="B9" s="58" t="s">
        <v>77</v>
      </c>
      <c r="C9" s="36" t="s">
        <v>78</v>
      </c>
      <c r="D9" s="59">
        <v>14.5</v>
      </c>
      <c r="E9" s="59">
        <v>14.0</v>
      </c>
      <c r="F9" s="59">
        <v>13.0</v>
      </c>
      <c r="G9" s="59">
        <v>13.0</v>
      </c>
      <c r="H9" s="59">
        <v>0.0</v>
      </c>
      <c r="I9" s="64">
        <f t="shared" si="1"/>
        <v>13.83</v>
      </c>
      <c r="J9" s="59">
        <v>10.0</v>
      </c>
      <c r="K9" s="59">
        <v>10.0</v>
      </c>
      <c r="L9" s="38">
        <v>10.0</v>
      </c>
      <c r="M9" s="56">
        <v>9.0</v>
      </c>
      <c r="N9" s="38">
        <f t="shared" si="2"/>
        <v>9.75</v>
      </c>
      <c r="O9" s="64">
        <v>22.75</v>
      </c>
      <c r="P9" s="65">
        <v>18.55</v>
      </c>
      <c r="Q9" s="64"/>
      <c r="R9" s="65">
        <f t="shared" ref="R9:R45" si="3">I9+N9+O9+P9</f>
        <v>64.88</v>
      </c>
      <c r="S9" s="74">
        <v>65.0</v>
      </c>
    </row>
    <row r="10">
      <c r="B10" s="58" t="s">
        <v>82</v>
      </c>
      <c r="C10" s="36" t="s">
        <v>83</v>
      </c>
      <c r="D10" s="59">
        <v>12.5</v>
      </c>
      <c r="E10" s="59">
        <v>10.0</v>
      </c>
      <c r="F10" s="59">
        <v>14.0</v>
      </c>
      <c r="G10" s="59">
        <v>14.0</v>
      </c>
      <c r="H10" s="59">
        <v>15.0</v>
      </c>
      <c r="I10" s="64">
        <f t="shared" si="1"/>
        <v>14.33</v>
      </c>
      <c r="J10" s="59">
        <v>10.0</v>
      </c>
      <c r="K10" s="59">
        <v>10.0</v>
      </c>
      <c r="L10" s="51">
        <v>10.0</v>
      </c>
      <c r="M10" s="51">
        <v>10.0</v>
      </c>
      <c r="N10" s="51">
        <f t="shared" si="2"/>
        <v>10</v>
      </c>
      <c r="O10" s="64">
        <v>17.849999999999998</v>
      </c>
      <c r="P10" s="65">
        <v>9.8</v>
      </c>
      <c r="Q10" s="64"/>
      <c r="R10" s="65">
        <f t="shared" si="3"/>
        <v>51.98</v>
      </c>
      <c r="S10" s="59">
        <v>52.0</v>
      </c>
    </row>
    <row r="11">
      <c r="B11" s="76" t="s">
        <v>84</v>
      </c>
      <c r="C11" s="36" t="s">
        <v>97</v>
      </c>
      <c r="D11" s="59">
        <v>16.0</v>
      </c>
      <c r="E11" s="59">
        <v>10.0</v>
      </c>
      <c r="F11" s="59">
        <v>15.0</v>
      </c>
      <c r="G11" s="59">
        <v>8.0</v>
      </c>
      <c r="H11" s="59">
        <v>19.5</v>
      </c>
      <c r="I11" s="64">
        <f t="shared" si="1"/>
        <v>16.83</v>
      </c>
      <c r="J11" s="59">
        <v>10.0</v>
      </c>
      <c r="K11" s="59">
        <v>8.0</v>
      </c>
      <c r="L11" s="38">
        <v>10.0</v>
      </c>
      <c r="M11" s="56">
        <v>8.0</v>
      </c>
      <c r="N11" s="38">
        <f t="shared" si="2"/>
        <v>9</v>
      </c>
      <c r="O11" s="64">
        <v>19.075</v>
      </c>
      <c r="P11" s="65">
        <v>21.7</v>
      </c>
      <c r="Q11" s="64"/>
      <c r="R11" s="65">
        <f t="shared" si="3"/>
        <v>66.605</v>
      </c>
      <c r="S11" s="59">
        <v>67.0</v>
      </c>
    </row>
    <row r="12">
      <c r="A12" s="15" t="s">
        <v>180</v>
      </c>
      <c r="B12" s="58" t="s">
        <v>104</v>
      </c>
      <c r="C12" s="36" t="s">
        <v>105</v>
      </c>
      <c r="D12" s="59">
        <v>0.0</v>
      </c>
      <c r="E12" s="59">
        <v>8.0</v>
      </c>
      <c r="F12" s="59">
        <v>12.0</v>
      </c>
      <c r="G12" s="59">
        <v>0.0</v>
      </c>
      <c r="H12" s="59">
        <v>15.5</v>
      </c>
      <c r="I12" s="64">
        <f t="shared" si="1"/>
        <v>11.83</v>
      </c>
      <c r="J12" s="59">
        <v>10.0</v>
      </c>
      <c r="K12" s="59">
        <v>10.0</v>
      </c>
      <c r="L12" s="51">
        <v>10.0</v>
      </c>
      <c r="M12" s="51">
        <v>10.0</v>
      </c>
      <c r="N12" s="51">
        <f t="shared" si="2"/>
        <v>10</v>
      </c>
      <c r="O12" s="64">
        <v>14.35</v>
      </c>
      <c r="P12" s="65">
        <v>20.65</v>
      </c>
      <c r="Q12" s="64"/>
      <c r="R12" s="65">
        <f t="shared" si="3"/>
        <v>56.83</v>
      </c>
      <c r="S12" s="59">
        <v>57.0</v>
      </c>
    </row>
    <row r="13">
      <c r="B13" s="77" t="s">
        <v>109</v>
      </c>
      <c r="C13" s="67" t="s">
        <v>110</v>
      </c>
      <c r="D13" s="59">
        <v>0.0</v>
      </c>
      <c r="E13" s="59">
        <v>0.0</v>
      </c>
      <c r="F13" s="59">
        <v>6.0</v>
      </c>
      <c r="G13" s="59">
        <v>12.0</v>
      </c>
      <c r="H13" s="59">
        <v>0.0</v>
      </c>
      <c r="I13" s="64">
        <f t="shared" si="1"/>
        <v>6</v>
      </c>
      <c r="J13" s="59">
        <v>10.0</v>
      </c>
      <c r="K13" s="59">
        <v>10.0</v>
      </c>
      <c r="L13" s="38">
        <v>10.0</v>
      </c>
      <c r="M13" s="38">
        <v>10.0</v>
      </c>
      <c r="N13" s="38">
        <f t="shared" si="2"/>
        <v>10</v>
      </c>
      <c r="O13" s="64">
        <v>17.15</v>
      </c>
      <c r="P13" s="65">
        <v>9.8</v>
      </c>
      <c r="Q13" s="64"/>
      <c r="R13" s="65">
        <f t="shared" si="3"/>
        <v>42.95</v>
      </c>
      <c r="S13" s="59">
        <v>43.0</v>
      </c>
    </row>
    <row r="14">
      <c r="B14" s="58" t="s">
        <v>111</v>
      </c>
      <c r="C14" s="36" t="s">
        <v>112</v>
      </c>
      <c r="D14" s="59">
        <v>0.0</v>
      </c>
      <c r="E14" s="59">
        <v>0.0</v>
      </c>
      <c r="F14" s="59">
        <v>0.0</v>
      </c>
      <c r="G14" s="59">
        <v>0.0</v>
      </c>
      <c r="H14" s="59">
        <v>0.0</v>
      </c>
      <c r="I14" s="64">
        <f t="shared" si="1"/>
        <v>0</v>
      </c>
      <c r="J14" s="59">
        <v>0.0</v>
      </c>
      <c r="K14" s="59">
        <v>0.0</v>
      </c>
      <c r="L14" s="63">
        <v>0.0</v>
      </c>
      <c r="M14" s="63">
        <v>0.0</v>
      </c>
      <c r="N14" s="51">
        <f t="shared" si="2"/>
        <v>0</v>
      </c>
      <c r="O14" s="59">
        <v>0.0</v>
      </c>
      <c r="P14" s="65">
        <v>0.0</v>
      </c>
      <c r="Q14" s="64"/>
      <c r="R14" s="65">
        <f t="shared" si="3"/>
        <v>0</v>
      </c>
      <c r="S14" s="59">
        <v>0.0</v>
      </c>
    </row>
    <row r="15">
      <c r="B15" s="58" t="s">
        <v>113</v>
      </c>
      <c r="C15" s="36" t="s">
        <v>114</v>
      </c>
      <c r="D15" s="59">
        <v>0.0</v>
      </c>
      <c r="E15" s="59">
        <v>0.0</v>
      </c>
      <c r="F15" s="59">
        <v>0.0</v>
      </c>
      <c r="G15" s="59">
        <v>0.0</v>
      </c>
      <c r="H15" s="59">
        <v>0.0</v>
      </c>
      <c r="I15" s="64">
        <f t="shared" si="1"/>
        <v>0</v>
      </c>
      <c r="J15" s="59">
        <v>0.0</v>
      </c>
      <c r="K15" s="59">
        <v>0.0</v>
      </c>
      <c r="L15" s="56">
        <v>0.0</v>
      </c>
      <c r="M15" s="56">
        <v>0.0</v>
      </c>
      <c r="N15" s="38">
        <f t="shared" si="2"/>
        <v>0</v>
      </c>
      <c r="O15" s="64">
        <v>0.0</v>
      </c>
      <c r="P15" s="65">
        <v>0.0</v>
      </c>
      <c r="Q15" s="64"/>
      <c r="R15" s="65">
        <f t="shared" si="3"/>
        <v>0</v>
      </c>
      <c r="S15" s="59">
        <v>0.0</v>
      </c>
    </row>
    <row r="16">
      <c r="B16" s="58" t="s">
        <v>115</v>
      </c>
      <c r="C16" s="36" t="s">
        <v>116</v>
      </c>
      <c r="D16" s="59">
        <v>11.5</v>
      </c>
      <c r="E16" s="59">
        <v>6.0</v>
      </c>
      <c r="F16" s="59">
        <v>14.0</v>
      </c>
      <c r="G16" s="59">
        <v>5.0</v>
      </c>
      <c r="H16" s="59">
        <v>14.5</v>
      </c>
      <c r="I16" s="64">
        <f t="shared" si="1"/>
        <v>13.33</v>
      </c>
      <c r="J16" s="59">
        <v>10.0</v>
      </c>
      <c r="K16" s="59">
        <v>10.0</v>
      </c>
      <c r="L16" s="51">
        <v>10.0</v>
      </c>
      <c r="M16" s="51">
        <v>10.0</v>
      </c>
      <c r="N16" s="51">
        <f t="shared" si="2"/>
        <v>10</v>
      </c>
      <c r="O16" s="64">
        <v>9.1</v>
      </c>
      <c r="P16" s="65">
        <v>17.675</v>
      </c>
      <c r="Q16" s="64"/>
      <c r="R16" s="65">
        <f t="shared" si="3"/>
        <v>50.105</v>
      </c>
      <c r="S16" s="59">
        <v>50.0</v>
      </c>
    </row>
    <row r="17">
      <c r="B17" s="58" t="s">
        <v>117</v>
      </c>
      <c r="C17" s="36" t="s">
        <v>118</v>
      </c>
      <c r="D17" s="59">
        <v>0.0</v>
      </c>
      <c r="E17" s="59">
        <v>0.0</v>
      </c>
      <c r="F17" s="59">
        <v>5.0</v>
      </c>
      <c r="G17" s="59">
        <v>0.0</v>
      </c>
      <c r="H17" s="59">
        <v>0.0</v>
      </c>
      <c r="I17" s="64">
        <f t="shared" si="1"/>
        <v>1.67</v>
      </c>
      <c r="J17" s="59">
        <v>10.0</v>
      </c>
      <c r="K17" s="59">
        <v>10.0</v>
      </c>
      <c r="L17" s="38">
        <v>10.0</v>
      </c>
      <c r="M17" s="38">
        <v>10.0</v>
      </c>
      <c r="N17" s="38">
        <f t="shared" si="2"/>
        <v>10</v>
      </c>
      <c r="O17" s="64">
        <v>15.049999999999999</v>
      </c>
      <c r="P17" s="65">
        <v>0.0</v>
      </c>
      <c r="Q17" s="64"/>
      <c r="R17" s="65">
        <f t="shared" si="3"/>
        <v>26.72</v>
      </c>
      <c r="S17" s="59">
        <v>27.0</v>
      </c>
    </row>
    <row r="18">
      <c r="B18" s="58" t="s">
        <v>119</v>
      </c>
      <c r="C18" s="36" t="s">
        <v>120</v>
      </c>
      <c r="D18" s="59">
        <v>10.0</v>
      </c>
      <c r="E18" s="59">
        <v>0.0</v>
      </c>
      <c r="F18" s="59">
        <v>10.0</v>
      </c>
      <c r="G18" s="59">
        <v>10.0</v>
      </c>
      <c r="H18" s="59">
        <v>13.5</v>
      </c>
      <c r="I18" s="64">
        <f t="shared" si="1"/>
        <v>11.17</v>
      </c>
      <c r="J18" s="59">
        <v>10.0</v>
      </c>
      <c r="K18" s="59">
        <v>10.0</v>
      </c>
      <c r="L18" s="51">
        <v>10.0</v>
      </c>
      <c r="M18" s="51">
        <v>10.0</v>
      </c>
      <c r="N18" s="51">
        <f t="shared" si="2"/>
        <v>10</v>
      </c>
      <c r="O18" s="64">
        <v>9.625</v>
      </c>
      <c r="P18" s="65">
        <v>14.0</v>
      </c>
      <c r="Q18" s="64"/>
      <c r="R18" s="65">
        <f t="shared" si="3"/>
        <v>44.795</v>
      </c>
      <c r="S18" s="59">
        <v>45.0</v>
      </c>
    </row>
    <row r="19">
      <c r="B19" s="58" t="s">
        <v>121</v>
      </c>
      <c r="C19" s="36" t="s">
        <v>122</v>
      </c>
      <c r="D19" s="59">
        <v>15.5</v>
      </c>
      <c r="E19" s="59">
        <v>12.0</v>
      </c>
      <c r="F19" s="59">
        <v>14.5</v>
      </c>
      <c r="G19" s="59">
        <v>18.0</v>
      </c>
      <c r="H19" s="59">
        <v>11.0</v>
      </c>
      <c r="I19" s="64">
        <f t="shared" si="1"/>
        <v>16</v>
      </c>
      <c r="J19" s="59">
        <v>10.0</v>
      </c>
      <c r="K19" s="59">
        <v>10.0</v>
      </c>
      <c r="L19" s="38">
        <v>10.0</v>
      </c>
      <c r="M19" s="38">
        <v>10.0</v>
      </c>
      <c r="N19" s="38">
        <f t="shared" si="2"/>
        <v>10</v>
      </c>
      <c r="O19" s="64">
        <v>26.599999999999998</v>
      </c>
      <c r="P19" s="65">
        <v>17.15</v>
      </c>
      <c r="Q19" s="64"/>
      <c r="R19" s="65">
        <f t="shared" si="3"/>
        <v>69.75</v>
      </c>
      <c r="S19" s="59">
        <v>70.0</v>
      </c>
    </row>
    <row r="20">
      <c r="B20" s="58" t="s">
        <v>123</v>
      </c>
      <c r="C20" s="36" t="s">
        <v>124</v>
      </c>
      <c r="D20" s="59">
        <v>18.0</v>
      </c>
      <c r="E20" s="59">
        <v>18.0</v>
      </c>
      <c r="F20" s="59">
        <v>18.0</v>
      </c>
      <c r="G20" s="59">
        <v>19.75</v>
      </c>
      <c r="H20" s="59">
        <v>19.25</v>
      </c>
      <c r="I20" s="64">
        <f t="shared" si="1"/>
        <v>19</v>
      </c>
      <c r="J20" s="59">
        <v>10.0</v>
      </c>
      <c r="K20" s="59">
        <v>10.0</v>
      </c>
      <c r="L20" s="51">
        <v>10.0</v>
      </c>
      <c r="M20" s="51">
        <v>10.0</v>
      </c>
      <c r="N20" s="51">
        <f t="shared" si="2"/>
        <v>10</v>
      </c>
      <c r="O20" s="64">
        <v>29.049999999999997</v>
      </c>
      <c r="P20" s="65">
        <v>27.475</v>
      </c>
      <c r="Q20" s="64"/>
      <c r="R20" s="65">
        <f t="shared" si="3"/>
        <v>85.525</v>
      </c>
      <c r="S20" s="59">
        <v>86.0</v>
      </c>
    </row>
    <row r="21">
      <c r="B21" s="58" t="s">
        <v>125</v>
      </c>
      <c r="C21" s="36" t="s">
        <v>126</v>
      </c>
      <c r="D21" s="59">
        <v>17.0</v>
      </c>
      <c r="E21" s="59">
        <v>17.0</v>
      </c>
      <c r="F21" s="59">
        <v>15.0</v>
      </c>
      <c r="G21" s="59">
        <v>0.0</v>
      </c>
      <c r="H21" s="59">
        <v>0.0</v>
      </c>
      <c r="I21" s="64">
        <f t="shared" si="1"/>
        <v>16.33</v>
      </c>
      <c r="J21" s="59">
        <v>10.0</v>
      </c>
      <c r="K21" s="59">
        <v>10.0</v>
      </c>
      <c r="L21" s="38">
        <v>10.0</v>
      </c>
      <c r="M21" s="38">
        <v>10.0</v>
      </c>
      <c r="N21" s="38">
        <f t="shared" si="2"/>
        <v>10</v>
      </c>
      <c r="O21" s="64">
        <v>16.799999999999997</v>
      </c>
      <c r="P21" s="65">
        <v>16.45</v>
      </c>
      <c r="Q21" s="64"/>
      <c r="R21" s="65">
        <f t="shared" si="3"/>
        <v>59.58</v>
      </c>
      <c r="S21" s="59">
        <v>60.0</v>
      </c>
      <c r="T21" s="78"/>
    </row>
    <row r="22">
      <c r="B22" s="58" t="s">
        <v>127</v>
      </c>
      <c r="C22" s="36" t="s">
        <v>128</v>
      </c>
      <c r="D22" s="59">
        <v>16.5</v>
      </c>
      <c r="E22" s="59">
        <v>14.0</v>
      </c>
      <c r="F22" s="59">
        <v>16.0</v>
      </c>
      <c r="G22" s="59">
        <v>15.0</v>
      </c>
      <c r="H22" s="59">
        <v>14.75</v>
      </c>
      <c r="I22" s="64">
        <f t="shared" si="1"/>
        <v>15.83</v>
      </c>
      <c r="J22" s="59">
        <v>10.0</v>
      </c>
      <c r="K22" s="59">
        <v>10.0</v>
      </c>
      <c r="L22" s="51">
        <v>10.0</v>
      </c>
      <c r="M22" s="51">
        <v>10.0</v>
      </c>
      <c r="N22" s="51">
        <f t="shared" si="2"/>
        <v>10</v>
      </c>
      <c r="O22" s="64">
        <v>15.749999999999998</v>
      </c>
      <c r="P22" s="65">
        <v>18.025</v>
      </c>
      <c r="Q22" s="64"/>
      <c r="R22" s="65">
        <f t="shared" si="3"/>
        <v>59.605</v>
      </c>
      <c r="S22" s="59">
        <v>60.0</v>
      </c>
      <c r="T22" s="79"/>
    </row>
    <row r="23">
      <c r="B23" s="58" t="s">
        <v>129</v>
      </c>
      <c r="C23" s="36" t="s">
        <v>130</v>
      </c>
      <c r="D23" s="59">
        <v>16.0</v>
      </c>
      <c r="E23" s="59">
        <v>14.0</v>
      </c>
      <c r="F23" s="59">
        <v>16.0</v>
      </c>
      <c r="G23" s="59">
        <v>18.5</v>
      </c>
      <c r="H23" s="59">
        <v>14.25</v>
      </c>
      <c r="I23" s="64">
        <f t="shared" si="1"/>
        <v>16.83</v>
      </c>
      <c r="J23" s="59">
        <v>10.0</v>
      </c>
      <c r="K23" s="59">
        <v>10.0</v>
      </c>
      <c r="L23" s="38">
        <v>10.0</v>
      </c>
      <c r="M23" s="38">
        <v>10.0</v>
      </c>
      <c r="N23" s="38">
        <f t="shared" si="2"/>
        <v>10</v>
      </c>
      <c r="O23" s="64">
        <v>15.399999999999999</v>
      </c>
      <c r="P23" s="65">
        <v>14.35</v>
      </c>
      <c r="Q23" s="64"/>
      <c r="R23" s="65">
        <f t="shared" si="3"/>
        <v>56.58</v>
      </c>
      <c r="S23" s="59">
        <v>57.0</v>
      </c>
      <c r="T23" s="80"/>
    </row>
    <row r="24">
      <c r="B24" s="58" t="s">
        <v>131</v>
      </c>
      <c r="C24" s="36" t="s">
        <v>132</v>
      </c>
      <c r="D24" s="59">
        <v>17.0</v>
      </c>
      <c r="E24" s="59">
        <v>20.0</v>
      </c>
      <c r="F24" s="59">
        <v>18.0</v>
      </c>
      <c r="G24" s="59">
        <v>18.5</v>
      </c>
      <c r="H24" s="59">
        <v>16.5</v>
      </c>
      <c r="I24" s="64">
        <f t="shared" si="1"/>
        <v>18.83</v>
      </c>
      <c r="J24" s="59">
        <v>10.0</v>
      </c>
      <c r="K24" s="59">
        <v>10.0</v>
      </c>
      <c r="L24" s="51">
        <v>10.0</v>
      </c>
      <c r="M24" s="51">
        <v>10.0</v>
      </c>
      <c r="N24" s="51">
        <f t="shared" si="2"/>
        <v>10</v>
      </c>
      <c r="O24" s="64">
        <v>22.049999999999997</v>
      </c>
      <c r="P24" s="65">
        <v>23.625</v>
      </c>
      <c r="Q24" s="64"/>
      <c r="R24" s="65">
        <f t="shared" si="3"/>
        <v>74.505</v>
      </c>
      <c r="S24" s="59">
        <v>75.0</v>
      </c>
      <c r="T24" s="78"/>
    </row>
    <row r="25">
      <c r="B25" s="58" t="s">
        <v>133</v>
      </c>
      <c r="C25" s="36" t="s">
        <v>134</v>
      </c>
      <c r="D25" s="59">
        <v>14.5</v>
      </c>
      <c r="E25" s="59">
        <v>13.5</v>
      </c>
      <c r="F25" s="59">
        <v>9.0</v>
      </c>
      <c r="G25" s="59">
        <v>14.0</v>
      </c>
      <c r="H25" s="59">
        <v>11.5</v>
      </c>
      <c r="I25" s="64">
        <f t="shared" si="1"/>
        <v>14</v>
      </c>
      <c r="J25" s="59">
        <v>10.0</v>
      </c>
      <c r="K25" s="59">
        <v>10.0</v>
      </c>
      <c r="L25" s="38">
        <v>10.0</v>
      </c>
      <c r="M25" s="38">
        <v>10.0</v>
      </c>
      <c r="N25" s="38">
        <f t="shared" si="2"/>
        <v>10</v>
      </c>
      <c r="O25" s="64">
        <v>24.674999999999997</v>
      </c>
      <c r="P25" s="65">
        <v>22.05</v>
      </c>
      <c r="Q25" s="64"/>
      <c r="R25" s="65">
        <f t="shared" si="3"/>
        <v>70.725</v>
      </c>
      <c r="S25" s="59">
        <v>71.0</v>
      </c>
    </row>
    <row r="26">
      <c r="B26" s="58" t="s">
        <v>135</v>
      </c>
      <c r="C26" s="36" t="s">
        <v>136</v>
      </c>
      <c r="D26" s="59">
        <v>18.5</v>
      </c>
      <c r="E26" s="59">
        <v>12.0</v>
      </c>
      <c r="F26" s="59">
        <v>19.0</v>
      </c>
      <c r="G26" s="59">
        <v>18.5</v>
      </c>
      <c r="H26" s="59">
        <v>19.5</v>
      </c>
      <c r="I26" s="64">
        <f t="shared" si="1"/>
        <v>19</v>
      </c>
      <c r="J26" s="59">
        <v>10.0</v>
      </c>
      <c r="K26" s="59">
        <v>10.0</v>
      </c>
      <c r="L26" s="51">
        <v>10.0</v>
      </c>
      <c r="M26" s="51">
        <v>10.0</v>
      </c>
      <c r="N26" s="51">
        <f t="shared" si="2"/>
        <v>10</v>
      </c>
      <c r="O26" s="64">
        <v>29.575</v>
      </c>
      <c r="P26" s="65">
        <v>31.85</v>
      </c>
      <c r="Q26" s="64"/>
      <c r="R26" s="65">
        <f t="shared" si="3"/>
        <v>90.425</v>
      </c>
      <c r="S26" s="59">
        <v>90.0</v>
      </c>
    </row>
    <row r="27">
      <c r="B27" s="58" t="s">
        <v>138</v>
      </c>
      <c r="C27" s="36" t="s">
        <v>139</v>
      </c>
      <c r="D27" s="59">
        <v>9.0</v>
      </c>
      <c r="E27" s="59">
        <v>11.0</v>
      </c>
      <c r="F27" s="59">
        <v>13.0</v>
      </c>
      <c r="G27" s="59">
        <v>11.0</v>
      </c>
      <c r="H27" s="59">
        <v>16.5</v>
      </c>
      <c r="I27" s="64">
        <f t="shared" si="1"/>
        <v>13.5</v>
      </c>
      <c r="J27" s="59">
        <v>10.0</v>
      </c>
      <c r="K27" s="59">
        <v>10.0</v>
      </c>
      <c r="L27" s="38">
        <v>10.0</v>
      </c>
      <c r="M27" s="38">
        <v>10.0</v>
      </c>
      <c r="N27" s="38">
        <f t="shared" si="2"/>
        <v>10</v>
      </c>
      <c r="O27" s="64">
        <v>19.25</v>
      </c>
      <c r="P27" s="65">
        <v>12.075</v>
      </c>
      <c r="Q27" s="64"/>
      <c r="R27" s="65">
        <f t="shared" si="3"/>
        <v>54.825</v>
      </c>
      <c r="S27" s="59">
        <v>55.0</v>
      </c>
      <c r="T27" s="78"/>
    </row>
    <row r="28">
      <c r="B28" s="58" t="s">
        <v>140</v>
      </c>
      <c r="C28" s="36" t="s">
        <v>141</v>
      </c>
      <c r="D28" s="59">
        <v>20.0</v>
      </c>
      <c r="E28" s="59">
        <v>18.0</v>
      </c>
      <c r="F28" s="59">
        <v>20.0</v>
      </c>
      <c r="G28" s="59">
        <v>18.25</v>
      </c>
      <c r="H28" s="59">
        <v>20.0</v>
      </c>
      <c r="I28" s="64">
        <f t="shared" si="1"/>
        <v>20</v>
      </c>
      <c r="J28" s="59">
        <v>10.0</v>
      </c>
      <c r="K28" s="59">
        <v>10.0</v>
      </c>
      <c r="L28" s="51">
        <v>10.0</v>
      </c>
      <c r="M28" s="51">
        <v>10.0</v>
      </c>
      <c r="N28" s="51">
        <f t="shared" si="2"/>
        <v>10</v>
      </c>
      <c r="O28" s="64">
        <v>28.525</v>
      </c>
      <c r="P28" s="65">
        <v>31.15</v>
      </c>
      <c r="Q28" s="64"/>
      <c r="R28" s="65">
        <f t="shared" si="3"/>
        <v>89.675</v>
      </c>
      <c r="S28" s="59">
        <v>90.0</v>
      </c>
      <c r="T28" s="78"/>
    </row>
    <row r="29">
      <c r="B29" s="58" t="s">
        <v>142</v>
      </c>
      <c r="C29" s="36" t="s">
        <v>143</v>
      </c>
      <c r="D29" s="59">
        <v>18.5</v>
      </c>
      <c r="E29" s="59">
        <v>15.75</v>
      </c>
      <c r="F29" s="59">
        <v>12.0</v>
      </c>
      <c r="G29" s="59">
        <v>0.0</v>
      </c>
      <c r="H29" s="59">
        <v>19.0</v>
      </c>
      <c r="I29" s="64">
        <f t="shared" si="1"/>
        <v>17.75</v>
      </c>
      <c r="J29" s="59">
        <v>10.0</v>
      </c>
      <c r="K29" s="59">
        <v>10.0</v>
      </c>
      <c r="L29" s="38">
        <v>10.0</v>
      </c>
      <c r="M29" s="38">
        <v>10.0</v>
      </c>
      <c r="N29" s="38">
        <f t="shared" si="2"/>
        <v>10</v>
      </c>
      <c r="O29" s="64">
        <v>19.25</v>
      </c>
      <c r="P29" s="65">
        <v>27.825</v>
      </c>
      <c r="Q29" s="64"/>
      <c r="R29" s="65">
        <f t="shared" si="3"/>
        <v>74.825</v>
      </c>
      <c r="S29" s="59">
        <v>75.0</v>
      </c>
    </row>
    <row r="30">
      <c r="B30" s="12" t="s">
        <v>144</v>
      </c>
      <c r="C30" s="12" t="s">
        <v>145</v>
      </c>
      <c r="D30" s="59">
        <v>18.0</v>
      </c>
      <c r="E30" s="59">
        <v>19.0</v>
      </c>
      <c r="F30" s="59">
        <v>19.5</v>
      </c>
      <c r="G30" s="59">
        <v>0.0</v>
      </c>
      <c r="H30" s="59">
        <v>19.75</v>
      </c>
      <c r="I30" s="64">
        <f t="shared" si="1"/>
        <v>19.42</v>
      </c>
      <c r="J30" s="59">
        <v>10.0</v>
      </c>
      <c r="K30" s="59">
        <v>10.0</v>
      </c>
      <c r="L30" s="51">
        <v>10.0</v>
      </c>
      <c r="M30" s="51">
        <v>10.0</v>
      </c>
      <c r="N30" s="51">
        <f t="shared" si="2"/>
        <v>10</v>
      </c>
      <c r="O30" s="64">
        <v>27.65</v>
      </c>
      <c r="P30" s="65">
        <v>28.0</v>
      </c>
      <c r="Q30" s="64"/>
      <c r="R30" s="65">
        <f t="shared" si="3"/>
        <v>85.07</v>
      </c>
      <c r="S30" s="59">
        <v>85.0</v>
      </c>
      <c r="T30" s="78"/>
    </row>
    <row r="31">
      <c r="B31" s="58" t="s">
        <v>146</v>
      </c>
      <c r="C31" s="36" t="s">
        <v>147</v>
      </c>
      <c r="D31" s="59">
        <v>10.5</v>
      </c>
      <c r="E31" s="59">
        <v>19.0</v>
      </c>
      <c r="F31" s="59">
        <v>17.5</v>
      </c>
      <c r="G31" s="59">
        <v>20.0</v>
      </c>
      <c r="H31" s="59">
        <v>16.0</v>
      </c>
      <c r="I31" s="64">
        <f t="shared" si="1"/>
        <v>18.83</v>
      </c>
      <c r="J31" s="59">
        <v>10.0</v>
      </c>
      <c r="K31" s="59">
        <v>10.0</v>
      </c>
      <c r="L31" s="38">
        <v>10.0</v>
      </c>
      <c r="M31" s="38">
        <v>10.0</v>
      </c>
      <c r="N31" s="38">
        <f t="shared" si="2"/>
        <v>10</v>
      </c>
      <c r="O31" s="64">
        <v>22.924999999999997</v>
      </c>
      <c r="P31" s="65">
        <v>28.0</v>
      </c>
      <c r="Q31" s="64"/>
      <c r="R31" s="65">
        <f t="shared" si="3"/>
        <v>79.755</v>
      </c>
      <c r="S31" s="59">
        <v>80.0</v>
      </c>
      <c r="T31" s="79"/>
    </row>
    <row r="32">
      <c r="B32" s="58" t="s">
        <v>148</v>
      </c>
      <c r="C32" s="36" t="s">
        <v>149</v>
      </c>
      <c r="D32" s="59">
        <v>14.5</v>
      </c>
      <c r="E32" s="59">
        <v>16.0</v>
      </c>
      <c r="F32" s="59">
        <v>16.5</v>
      </c>
      <c r="G32" s="59">
        <v>18.0</v>
      </c>
      <c r="H32" s="59">
        <v>16.5</v>
      </c>
      <c r="I32" s="64">
        <f t="shared" si="1"/>
        <v>17</v>
      </c>
      <c r="J32" s="59">
        <v>10.0</v>
      </c>
      <c r="K32" s="59">
        <v>10.0</v>
      </c>
      <c r="L32" s="63">
        <v>9.0</v>
      </c>
      <c r="M32" s="51">
        <v>10.0</v>
      </c>
      <c r="N32" s="51">
        <f t="shared" si="2"/>
        <v>9.75</v>
      </c>
      <c r="O32" s="64">
        <v>27.65</v>
      </c>
      <c r="P32" s="65">
        <v>26.425</v>
      </c>
      <c r="Q32" s="64"/>
      <c r="R32" s="65">
        <f t="shared" si="3"/>
        <v>80.825</v>
      </c>
      <c r="S32" s="59">
        <v>81.0</v>
      </c>
    </row>
    <row r="33">
      <c r="B33" s="58" t="s">
        <v>150</v>
      </c>
      <c r="C33" s="36" t="s">
        <v>151</v>
      </c>
      <c r="D33" s="59">
        <v>18.0</v>
      </c>
      <c r="E33" s="59">
        <v>0.0</v>
      </c>
      <c r="F33" s="59">
        <v>20.0</v>
      </c>
      <c r="G33" s="59">
        <v>20.0</v>
      </c>
      <c r="H33" s="59">
        <v>19.75</v>
      </c>
      <c r="I33" s="64">
        <f t="shared" si="1"/>
        <v>19.92</v>
      </c>
      <c r="J33" s="59">
        <v>10.0</v>
      </c>
      <c r="K33" s="59">
        <v>10.0</v>
      </c>
      <c r="L33" s="38">
        <v>10.0</v>
      </c>
      <c r="M33" s="38">
        <v>10.0</v>
      </c>
      <c r="N33" s="38">
        <f t="shared" si="2"/>
        <v>10</v>
      </c>
      <c r="O33" s="64">
        <v>26.075</v>
      </c>
      <c r="P33" s="65">
        <v>28.525</v>
      </c>
      <c r="Q33" s="64"/>
      <c r="R33" s="81">
        <f t="shared" si="3"/>
        <v>84.52</v>
      </c>
      <c r="S33" s="82">
        <v>85.0</v>
      </c>
      <c r="T33" s="78"/>
    </row>
    <row r="34">
      <c r="B34" s="58" t="s">
        <v>152</v>
      </c>
      <c r="C34" s="36" t="s">
        <v>153</v>
      </c>
      <c r="D34" s="59">
        <v>17.0</v>
      </c>
      <c r="E34" s="59">
        <v>19.5</v>
      </c>
      <c r="F34" s="59">
        <v>16.5</v>
      </c>
      <c r="G34" s="59">
        <v>18.0</v>
      </c>
      <c r="H34" s="59">
        <v>18.5</v>
      </c>
      <c r="I34" s="64">
        <f t="shared" si="1"/>
        <v>18.67</v>
      </c>
      <c r="J34" s="59">
        <v>10.0</v>
      </c>
      <c r="K34" s="59">
        <v>8.0</v>
      </c>
      <c r="L34" s="51">
        <v>10.0</v>
      </c>
      <c r="M34" s="51">
        <v>10.0</v>
      </c>
      <c r="N34" s="51">
        <f t="shared" si="2"/>
        <v>9.5</v>
      </c>
      <c r="O34" s="64">
        <v>26.599999999999998</v>
      </c>
      <c r="P34" s="65">
        <v>26.25</v>
      </c>
      <c r="Q34" s="64"/>
      <c r="R34" s="65">
        <f t="shared" si="3"/>
        <v>81.02</v>
      </c>
      <c r="S34" s="59">
        <v>81.0</v>
      </c>
    </row>
    <row r="35">
      <c r="B35" s="58" t="s">
        <v>154</v>
      </c>
      <c r="C35" s="58" t="s">
        <v>155</v>
      </c>
      <c r="D35" s="59">
        <v>20.0</v>
      </c>
      <c r="E35" s="59">
        <v>0.0</v>
      </c>
      <c r="F35" s="59">
        <v>20.0</v>
      </c>
      <c r="G35" s="59">
        <v>20.0</v>
      </c>
      <c r="H35" s="59">
        <v>13.0</v>
      </c>
      <c r="I35" s="64">
        <f t="shared" si="1"/>
        <v>20</v>
      </c>
      <c r="J35" s="59">
        <v>10.0</v>
      </c>
      <c r="K35" s="59">
        <v>10.0</v>
      </c>
      <c r="L35" s="38">
        <v>10.0</v>
      </c>
      <c r="M35" s="38">
        <v>10.0</v>
      </c>
      <c r="N35" s="38">
        <f t="shared" si="2"/>
        <v>10</v>
      </c>
      <c r="O35" s="64">
        <v>25.025</v>
      </c>
      <c r="P35" s="65">
        <v>29.575</v>
      </c>
      <c r="Q35" s="64"/>
      <c r="R35" s="65">
        <f t="shared" si="3"/>
        <v>84.6</v>
      </c>
      <c r="S35" s="59">
        <v>85.0</v>
      </c>
      <c r="T35" s="79"/>
    </row>
    <row r="36">
      <c r="B36" s="58" t="s">
        <v>156</v>
      </c>
      <c r="C36" s="58" t="s">
        <v>157</v>
      </c>
      <c r="D36" s="59">
        <v>19.0</v>
      </c>
      <c r="E36" s="59">
        <v>17.0</v>
      </c>
      <c r="F36" s="59">
        <v>18.0</v>
      </c>
      <c r="G36" s="59">
        <v>20.0</v>
      </c>
      <c r="H36" s="59">
        <v>0.0</v>
      </c>
      <c r="I36" s="64">
        <f t="shared" si="1"/>
        <v>19</v>
      </c>
      <c r="J36" s="59">
        <v>10.0</v>
      </c>
      <c r="K36" s="59">
        <v>10.0</v>
      </c>
      <c r="L36" s="51">
        <v>10.0</v>
      </c>
      <c r="M36" s="51">
        <v>10.0</v>
      </c>
      <c r="N36" s="51">
        <f t="shared" si="2"/>
        <v>10</v>
      </c>
      <c r="O36" s="64">
        <v>30.099999999999998</v>
      </c>
      <c r="P36" s="65">
        <v>30.975</v>
      </c>
      <c r="Q36" s="64"/>
      <c r="R36" s="65">
        <f t="shared" si="3"/>
        <v>90.075</v>
      </c>
      <c r="S36" s="59">
        <v>90.0</v>
      </c>
    </row>
    <row r="37">
      <c r="B37" s="58" t="s">
        <v>158</v>
      </c>
      <c r="C37" s="12" t="s">
        <v>159</v>
      </c>
      <c r="D37" s="59">
        <v>19.5</v>
      </c>
      <c r="E37" s="59">
        <v>17.75</v>
      </c>
      <c r="F37" s="59">
        <v>15.5</v>
      </c>
      <c r="G37" s="59">
        <v>14.0</v>
      </c>
      <c r="H37" s="59">
        <v>19.5</v>
      </c>
      <c r="I37" s="64">
        <f t="shared" si="1"/>
        <v>18.92</v>
      </c>
      <c r="J37" s="59">
        <v>10.0</v>
      </c>
      <c r="K37" s="59">
        <v>10.0</v>
      </c>
      <c r="L37" s="38">
        <v>10.0</v>
      </c>
      <c r="M37" s="38">
        <v>10.0</v>
      </c>
      <c r="N37" s="38">
        <f t="shared" si="2"/>
        <v>10</v>
      </c>
      <c r="O37" s="64">
        <v>24.849999999999998</v>
      </c>
      <c r="P37" s="65">
        <v>25.9</v>
      </c>
      <c r="Q37" s="64"/>
      <c r="R37" s="65">
        <f t="shared" si="3"/>
        <v>79.67</v>
      </c>
      <c r="S37" s="59">
        <v>80.0</v>
      </c>
      <c r="T37" s="78"/>
    </row>
    <row r="38">
      <c r="B38" s="58" t="s">
        <v>160</v>
      </c>
      <c r="C38" s="58" t="s">
        <v>161</v>
      </c>
      <c r="D38" s="59">
        <v>18.0</v>
      </c>
      <c r="E38" s="59">
        <v>18.0</v>
      </c>
      <c r="F38" s="59">
        <v>17.5</v>
      </c>
      <c r="G38" s="59">
        <v>19.75</v>
      </c>
      <c r="H38" s="59">
        <v>0.0</v>
      </c>
      <c r="I38" s="64">
        <f t="shared" si="1"/>
        <v>18.58</v>
      </c>
      <c r="J38" s="59">
        <v>10.0</v>
      </c>
      <c r="K38" s="59">
        <v>10.0</v>
      </c>
      <c r="L38" s="51">
        <v>10.0</v>
      </c>
      <c r="M38" s="51">
        <v>10.0</v>
      </c>
      <c r="N38" s="51">
        <f t="shared" si="2"/>
        <v>10</v>
      </c>
      <c r="O38" s="64">
        <v>29.749999999999996</v>
      </c>
      <c r="P38" s="65">
        <v>32.2</v>
      </c>
      <c r="Q38" s="64"/>
      <c r="R38" s="65">
        <f t="shared" si="3"/>
        <v>90.53</v>
      </c>
      <c r="S38" s="59">
        <v>91.0</v>
      </c>
    </row>
    <row r="39">
      <c r="B39" s="58" t="s">
        <v>162</v>
      </c>
      <c r="C39" s="58" t="s">
        <v>163</v>
      </c>
      <c r="D39" s="59">
        <v>10.0</v>
      </c>
      <c r="E39" s="59">
        <v>12.0</v>
      </c>
      <c r="F39" s="59">
        <v>11.5</v>
      </c>
      <c r="G39" s="59">
        <v>10.0</v>
      </c>
      <c r="H39" s="59">
        <v>14.0</v>
      </c>
      <c r="I39" s="64">
        <f t="shared" si="1"/>
        <v>12.5</v>
      </c>
      <c r="J39" s="59">
        <v>10.0</v>
      </c>
      <c r="K39" s="59">
        <v>10.0</v>
      </c>
      <c r="L39" s="38">
        <v>10.0</v>
      </c>
      <c r="M39" s="56">
        <v>8.0</v>
      </c>
      <c r="N39" s="38">
        <f t="shared" si="2"/>
        <v>9.5</v>
      </c>
      <c r="O39" s="64">
        <v>21.7</v>
      </c>
      <c r="P39" s="65">
        <v>13.3</v>
      </c>
      <c r="Q39" s="64"/>
      <c r="R39" s="65">
        <f t="shared" si="3"/>
        <v>57</v>
      </c>
      <c r="S39" s="59">
        <v>57.0</v>
      </c>
    </row>
    <row r="40">
      <c r="B40" s="58" t="s">
        <v>164</v>
      </c>
      <c r="C40" s="58" t="s">
        <v>165</v>
      </c>
      <c r="D40" s="59">
        <v>17.0</v>
      </c>
      <c r="E40" s="59">
        <v>20.0</v>
      </c>
      <c r="F40" s="59">
        <v>20.0</v>
      </c>
      <c r="G40" s="59">
        <v>20.0</v>
      </c>
      <c r="H40" s="59">
        <v>19.5</v>
      </c>
      <c r="I40" s="64">
        <f t="shared" si="1"/>
        <v>20</v>
      </c>
      <c r="J40" s="59">
        <v>10.0</v>
      </c>
      <c r="K40" s="59">
        <v>10.0</v>
      </c>
      <c r="L40" s="51">
        <v>10.0</v>
      </c>
      <c r="M40" s="51">
        <v>10.0</v>
      </c>
      <c r="N40" s="51">
        <f t="shared" si="2"/>
        <v>10</v>
      </c>
      <c r="O40" s="64">
        <v>30.099999999999998</v>
      </c>
      <c r="P40" s="65">
        <v>30.45</v>
      </c>
      <c r="Q40" s="64"/>
      <c r="R40" s="65">
        <f t="shared" si="3"/>
        <v>90.55</v>
      </c>
      <c r="S40" s="59">
        <v>91.0</v>
      </c>
    </row>
    <row r="41">
      <c r="B41" s="58" t="s">
        <v>166</v>
      </c>
      <c r="C41" s="36" t="s">
        <v>167</v>
      </c>
      <c r="D41" s="59">
        <v>10.5</v>
      </c>
      <c r="E41" s="59">
        <v>15.0</v>
      </c>
      <c r="F41" s="59">
        <v>16.0</v>
      </c>
      <c r="G41" s="59">
        <v>17.0</v>
      </c>
      <c r="H41" s="59">
        <v>15.5</v>
      </c>
      <c r="I41" s="64">
        <f t="shared" si="1"/>
        <v>16.17</v>
      </c>
      <c r="J41" s="59">
        <v>10.0</v>
      </c>
      <c r="K41" s="59">
        <v>10.0</v>
      </c>
      <c r="L41" s="38">
        <v>10.0</v>
      </c>
      <c r="M41" s="38">
        <v>10.0</v>
      </c>
      <c r="N41" s="38">
        <f t="shared" si="2"/>
        <v>10</v>
      </c>
      <c r="O41" s="64">
        <v>18.724999999999998</v>
      </c>
      <c r="P41" s="65">
        <v>21.35</v>
      </c>
      <c r="Q41" s="64"/>
      <c r="R41" s="65">
        <f t="shared" si="3"/>
        <v>66.245</v>
      </c>
      <c r="S41" s="59">
        <v>66.0</v>
      </c>
    </row>
    <row r="42">
      <c r="B42" s="58" t="s">
        <v>168</v>
      </c>
      <c r="C42" s="36" t="s">
        <v>169</v>
      </c>
      <c r="D42" s="59">
        <v>16.0</v>
      </c>
      <c r="E42" s="59">
        <v>11.0</v>
      </c>
      <c r="F42" s="59">
        <v>12.0</v>
      </c>
      <c r="G42" s="59">
        <v>16.0</v>
      </c>
      <c r="H42" s="59">
        <v>0.0</v>
      </c>
      <c r="I42" s="64">
        <f t="shared" si="1"/>
        <v>14.67</v>
      </c>
      <c r="J42" s="59">
        <v>10.0</v>
      </c>
      <c r="K42" s="59">
        <v>10.0</v>
      </c>
      <c r="L42" s="51">
        <v>10.0</v>
      </c>
      <c r="M42" s="51">
        <v>10.0</v>
      </c>
      <c r="N42" s="51">
        <f t="shared" si="2"/>
        <v>10</v>
      </c>
      <c r="O42" s="64">
        <v>20.65</v>
      </c>
      <c r="P42" s="65">
        <v>14.525</v>
      </c>
      <c r="Q42" s="64"/>
      <c r="R42" s="65">
        <f t="shared" si="3"/>
        <v>59.845</v>
      </c>
      <c r="S42" s="59">
        <v>60.0</v>
      </c>
    </row>
    <row r="43">
      <c r="B43" s="58" t="s">
        <v>170</v>
      </c>
      <c r="C43" s="36" t="s">
        <v>171</v>
      </c>
      <c r="D43" s="59">
        <v>20.0</v>
      </c>
      <c r="E43" s="59">
        <v>18.0</v>
      </c>
      <c r="F43" s="59">
        <v>18.5</v>
      </c>
      <c r="G43" s="59">
        <v>17.5</v>
      </c>
      <c r="H43" s="59">
        <v>0.0</v>
      </c>
      <c r="I43" s="64">
        <f t="shared" si="1"/>
        <v>18.83</v>
      </c>
      <c r="J43" s="59">
        <v>10.0</v>
      </c>
      <c r="K43" s="59">
        <v>10.0</v>
      </c>
      <c r="L43" s="38">
        <v>10.0</v>
      </c>
      <c r="M43" s="38">
        <v>10.0</v>
      </c>
      <c r="N43" s="38">
        <f t="shared" si="2"/>
        <v>10</v>
      </c>
      <c r="O43" s="64">
        <v>31.849999999999998</v>
      </c>
      <c r="P43" s="65">
        <v>32.55</v>
      </c>
      <c r="Q43" s="64"/>
      <c r="R43" s="65">
        <f t="shared" si="3"/>
        <v>93.23</v>
      </c>
      <c r="S43" s="59">
        <v>93.0</v>
      </c>
    </row>
    <row r="44">
      <c r="B44" s="58" t="s">
        <v>172</v>
      </c>
      <c r="C44" s="36" t="s">
        <v>173</v>
      </c>
      <c r="D44" s="59">
        <v>15.5</v>
      </c>
      <c r="E44" s="59">
        <v>14.0</v>
      </c>
      <c r="F44" s="59">
        <v>14.5</v>
      </c>
      <c r="G44" s="59">
        <v>17.0</v>
      </c>
      <c r="H44" s="59">
        <v>11.5</v>
      </c>
      <c r="I44" s="64">
        <f t="shared" si="1"/>
        <v>15.67</v>
      </c>
      <c r="J44" s="59">
        <v>10.0</v>
      </c>
      <c r="K44" s="59">
        <v>10.0</v>
      </c>
      <c r="L44" s="63">
        <v>9.0</v>
      </c>
      <c r="M44" s="51">
        <v>10.0</v>
      </c>
      <c r="N44" s="51">
        <f t="shared" si="2"/>
        <v>9.75</v>
      </c>
      <c r="O44" s="64">
        <v>24.849999999999998</v>
      </c>
      <c r="P44" s="65">
        <v>26.25</v>
      </c>
      <c r="Q44" s="64"/>
      <c r="R44" s="65">
        <f t="shared" si="3"/>
        <v>76.52</v>
      </c>
      <c r="S44" s="59">
        <v>77.0</v>
      </c>
    </row>
    <row r="45">
      <c r="B45" s="58" t="s">
        <v>174</v>
      </c>
      <c r="C45" s="36" t="s">
        <v>175</v>
      </c>
      <c r="D45" s="59">
        <v>15.0</v>
      </c>
      <c r="E45" s="59">
        <v>12.0</v>
      </c>
      <c r="F45" s="59">
        <v>0.0</v>
      </c>
      <c r="G45" s="59">
        <v>0.0</v>
      </c>
      <c r="H45" s="59">
        <v>14.0</v>
      </c>
      <c r="I45" s="64">
        <f t="shared" si="1"/>
        <v>13.67</v>
      </c>
      <c r="J45" s="59">
        <v>10.0</v>
      </c>
      <c r="K45" s="59">
        <v>10.0</v>
      </c>
      <c r="L45" s="59">
        <v>10.0</v>
      </c>
      <c r="M45" s="59">
        <v>10.0</v>
      </c>
      <c r="N45" s="51">
        <f t="shared" si="2"/>
        <v>10</v>
      </c>
      <c r="O45" s="64">
        <v>22.75</v>
      </c>
      <c r="P45" s="65">
        <v>18.55</v>
      </c>
      <c r="Q45" s="64"/>
      <c r="R45" s="65">
        <f t="shared" si="3"/>
        <v>64.97</v>
      </c>
      <c r="S45" s="59">
        <v>65.0</v>
      </c>
    </row>
    <row r="49">
      <c r="D49" s="15">
        <v>33.0</v>
      </c>
      <c r="G49" s="15">
        <v>31.0</v>
      </c>
      <c r="H49" s="15">
        <v>27.0</v>
      </c>
    </row>
  </sheetData>
  <mergeCells count="1">
    <mergeCell ref="T8:V11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5"/>
    <col customWidth="1" min="5" max="10" width="6.38"/>
    <col customWidth="1" min="11" max="11" width="5.5"/>
  </cols>
  <sheetData>
    <row r="1">
      <c r="L1" s="1"/>
      <c r="M1" s="1"/>
      <c r="N1" s="1"/>
    </row>
    <row r="2">
      <c r="L2" s="1"/>
      <c r="M2" s="1"/>
      <c r="N2" s="1"/>
    </row>
    <row r="3">
      <c r="L3" s="1"/>
      <c r="M3" s="1"/>
      <c r="N3" s="1"/>
    </row>
    <row r="4">
      <c r="C4" s="6" t="s">
        <v>7</v>
      </c>
      <c r="D4" s="23" t="s">
        <v>10</v>
      </c>
      <c r="E4" s="25" t="s">
        <v>54</v>
      </c>
      <c r="F4" s="25" t="s">
        <v>58</v>
      </c>
      <c r="G4" s="25" t="s">
        <v>59</v>
      </c>
      <c r="H4" s="25" t="s">
        <v>60</v>
      </c>
      <c r="I4" s="25" t="s">
        <v>62</v>
      </c>
      <c r="J4" s="25" t="s">
        <v>63</v>
      </c>
      <c r="K4" s="2"/>
      <c r="L4" s="31" t="s">
        <v>67</v>
      </c>
      <c r="M4" s="31" t="s">
        <v>73</v>
      </c>
      <c r="N4" s="1"/>
    </row>
    <row r="5">
      <c r="C5" s="36" t="s">
        <v>18</v>
      </c>
      <c r="D5" s="36" t="s">
        <v>22</v>
      </c>
      <c r="E5" s="38">
        <v>0.75</v>
      </c>
      <c r="F5" s="38">
        <v>1.0</v>
      </c>
      <c r="G5" s="38">
        <v>1.5</v>
      </c>
      <c r="H5" s="38">
        <v>9.5</v>
      </c>
      <c r="I5" s="38">
        <v>0.0</v>
      </c>
      <c r="J5" s="38">
        <v>0.0</v>
      </c>
      <c r="K5" s="40"/>
      <c r="L5" s="45">
        <f t="shared" ref="L5:L43" si="1">sum(E5:J5)</f>
        <v>12.75</v>
      </c>
      <c r="M5" s="45">
        <f t="shared" ref="M5:M11" si="2">L5 *(35/50)</f>
        <v>8.925</v>
      </c>
      <c r="N5" s="1"/>
    </row>
    <row r="6">
      <c r="C6" s="48" t="s">
        <v>64</v>
      </c>
      <c r="D6" s="50" t="s">
        <v>71</v>
      </c>
      <c r="E6" s="51">
        <v>1.0</v>
      </c>
      <c r="F6" s="51">
        <v>1.0</v>
      </c>
      <c r="G6" s="51">
        <v>6.0</v>
      </c>
      <c r="H6" s="51">
        <v>10.0</v>
      </c>
      <c r="I6" s="51">
        <v>1.5</v>
      </c>
      <c r="J6" s="51">
        <v>3.5</v>
      </c>
      <c r="K6" s="52"/>
      <c r="L6" s="53">
        <f t="shared" si="1"/>
        <v>23</v>
      </c>
      <c r="M6" s="53">
        <f t="shared" si="2"/>
        <v>16.1</v>
      </c>
      <c r="N6" s="1"/>
    </row>
    <row r="7">
      <c r="C7" s="36" t="s">
        <v>77</v>
      </c>
      <c r="D7" s="36" t="s">
        <v>78</v>
      </c>
      <c r="E7" s="56">
        <v>5.0</v>
      </c>
      <c r="F7" s="56">
        <v>2.0</v>
      </c>
      <c r="G7" s="56">
        <v>10.0</v>
      </c>
      <c r="H7" s="56">
        <v>9.0</v>
      </c>
      <c r="I7" s="56">
        <v>3.0</v>
      </c>
      <c r="J7" s="56">
        <v>3.5</v>
      </c>
      <c r="K7" s="40"/>
      <c r="L7" s="45">
        <f t="shared" si="1"/>
        <v>32.5</v>
      </c>
      <c r="M7" s="45">
        <f t="shared" si="2"/>
        <v>22.75</v>
      </c>
      <c r="N7" s="1"/>
    </row>
    <row r="8">
      <c r="C8" s="48" t="s">
        <v>82</v>
      </c>
      <c r="D8" s="48" t="s">
        <v>83</v>
      </c>
      <c r="E8" s="51">
        <v>2.5</v>
      </c>
      <c r="F8" s="51">
        <v>1.0</v>
      </c>
      <c r="G8" s="51">
        <v>9.0</v>
      </c>
      <c r="H8" s="51">
        <v>8.0</v>
      </c>
      <c r="I8" s="51">
        <v>1.5</v>
      </c>
      <c r="J8" s="51">
        <v>3.5</v>
      </c>
      <c r="K8" s="52"/>
      <c r="L8" s="53">
        <f t="shared" si="1"/>
        <v>25.5</v>
      </c>
      <c r="M8" s="53">
        <f t="shared" si="2"/>
        <v>17.85</v>
      </c>
      <c r="N8" s="1"/>
    </row>
    <row r="9">
      <c r="C9" s="36" t="s">
        <v>84</v>
      </c>
      <c r="D9" s="36" t="s">
        <v>97</v>
      </c>
      <c r="E9" s="38">
        <v>0.25</v>
      </c>
      <c r="F9" s="38">
        <v>2.0</v>
      </c>
      <c r="G9" s="38">
        <v>10.0</v>
      </c>
      <c r="H9" s="38">
        <v>9.5</v>
      </c>
      <c r="I9" s="38">
        <v>1.5</v>
      </c>
      <c r="J9" s="38">
        <v>4.0</v>
      </c>
      <c r="K9" s="40"/>
      <c r="L9" s="45">
        <f t="shared" si="1"/>
        <v>27.25</v>
      </c>
      <c r="M9" s="45">
        <f t="shared" si="2"/>
        <v>19.075</v>
      </c>
      <c r="N9" s="1"/>
    </row>
    <row r="10">
      <c r="C10" s="48" t="s">
        <v>104</v>
      </c>
      <c r="D10" s="48" t="s">
        <v>105</v>
      </c>
      <c r="E10" s="51">
        <v>1.5</v>
      </c>
      <c r="F10" s="51">
        <v>2.0</v>
      </c>
      <c r="G10" s="51">
        <v>8.5</v>
      </c>
      <c r="H10" s="51">
        <v>0.0</v>
      </c>
      <c r="I10" s="51">
        <v>5.5</v>
      </c>
      <c r="J10" s="51">
        <v>3.0</v>
      </c>
      <c r="K10" s="52"/>
      <c r="L10" s="53">
        <f t="shared" si="1"/>
        <v>20.5</v>
      </c>
      <c r="M10" s="53">
        <f t="shared" si="2"/>
        <v>14.35</v>
      </c>
      <c r="N10" s="1"/>
    </row>
    <row r="11">
      <c r="C11" s="36" t="s">
        <v>109</v>
      </c>
      <c r="D11" s="60" t="s">
        <v>110</v>
      </c>
      <c r="E11" s="38">
        <v>1.5</v>
      </c>
      <c r="F11" s="38">
        <v>2.0</v>
      </c>
      <c r="G11" s="38">
        <v>9.0</v>
      </c>
      <c r="H11" s="38">
        <v>9.0</v>
      </c>
      <c r="I11" s="38">
        <v>1.5</v>
      </c>
      <c r="J11" s="38">
        <v>1.5</v>
      </c>
      <c r="K11" s="40"/>
      <c r="L11" s="45">
        <f t="shared" si="1"/>
        <v>24.5</v>
      </c>
      <c r="M11" s="45">
        <f t="shared" si="2"/>
        <v>17.15</v>
      </c>
      <c r="N11" s="1"/>
    </row>
    <row r="12">
      <c r="C12" s="48" t="s">
        <v>111</v>
      </c>
      <c r="D12" s="48" t="s">
        <v>112</v>
      </c>
      <c r="E12" s="52"/>
      <c r="F12" s="52"/>
      <c r="G12" s="52"/>
      <c r="H12" s="52"/>
      <c r="I12" s="52"/>
      <c r="J12" s="52"/>
      <c r="K12" s="52"/>
      <c r="L12" s="53">
        <f t="shared" si="1"/>
        <v>0</v>
      </c>
      <c r="M12" s="53"/>
      <c r="N12" s="1"/>
    </row>
    <row r="13">
      <c r="C13" s="36" t="s">
        <v>113</v>
      </c>
      <c r="D13" s="36" t="s">
        <v>114</v>
      </c>
      <c r="E13" s="38">
        <v>0.0</v>
      </c>
      <c r="F13" s="38">
        <v>0.0</v>
      </c>
      <c r="G13" s="38">
        <v>0.0</v>
      </c>
      <c r="H13" s="38">
        <v>0.0</v>
      </c>
      <c r="I13" s="38">
        <v>0.0</v>
      </c>
      <c r="J13" s="38">
        <v>0.0</v>
      </c>
      <c r="K13" s="40"/>
      <c r="L13" s="45">
        <f t="shared" si="1"/>
        <v>0</v>
      </c>
      <c r="M13" s="45">
        <f t="shared" ref="M13:M43" si="3">L13 *(35/50)</f>
        <v>0</v>
      </c>
      <c r="N13" s="1"/>
    </row>
    <row r="14">
      <c r="C14" s="48" t="s">
        <v>115</v>
      </c>
      <c r="D14" s="48" t="s">
        <v>116</v>
      </c>
      <c r="E14" s="51">
        <v>1.0</v>
      </c>
      <c r="F14" s="51">
        <v>0.0</v>
      </c>
      <c r="G14" s="51">
        <v>5.0</v>
      </c>
      <c r="H14" s="51">
        <v>4.0</v>
      </c>
      <c r="I14" s="51">
        <v>2.0</v>
      </c>
      <c r="J14" s="51">
        <v>1.0</v>
      </c>
      <c r="K14" s="52"/>
      <c r="L14" s="53">
        <f t="shared" si="1"/>
        <v>13</v>
      </c>
      <c r="M14" s="53">
        <f t="shared" si="3"/>
        <v>9.1</v>
      </c>
      <c r="N14" s="1"/>
    </row>
    <row r="15">
      <c r="C15" s="36" t="s">
        <v>117</v>
      </c>
      <c r="D15" s="36" t="s">
        <v>118</v>
      </c>
      <c r="E15" s="38">
        <v>3.5</v>
      </c>
      <c r="F15" s="38">
        <v>1.0</v>
      </c>
      <c r="G15" s="38">
        <v>3.0</v>
      </c>
      <c r="H15" s="38">
        <v>9.5</v>
      </c>
      <c r="I15" s="38">
        <v>2.5</v>
      </c>
      <c r="J15" s="38">
        <v>2.0</v>
      </c>
      <c r="K15" s="40"/>
      <c r="L15" s="45">
        <f t="shared" si="1"/>
        <v>21.5</v>
      </c>
      <c r="M15" s="45">
        <f t="shared" si="3"/>
        <v>15.05</v>
      </c>
      <c r="N15" s="1"/>
    </row>
    <row r="16">
      <c r="C16" s="48" t="s">
        <v>119</v>
      </c>
      <c r="D16" s="48" t="s">
        <v>120</v>
      </c>
      <c r="E16" s="51">
        <v>2.75</v>
      </c>
      <c r="F16" s="51">
        <v>1.0</v>
      </c>
      <c r="G16" s="51">
        <v>3.0</v>
      </c>
      <c r="H16" s="51">
        <v>4.0</v>
      </c>
      <c r="I16" s="51">
        <v>1.5</v>
      </c>
      <c r="J16" s="51">
        <v>1.5</v>
      </c>
      <c r="K16" s="52"/>
      <c r="L16" s="53">
        <f t="shared" si="1"/>
        <v>13.75</v>
      </c>
      <c r="M16" s="53">
        <f t="shared" si="3"/>
        <v>9.625</v>
      </c>
      <c r="N16" s="1"/>
    </row>
    <row r="17">
      <c r="C17" s="36" t="s">
        <v>121</v>
      </c>
      <c r="D17" s="36" t="s">
        <v>122</v>
      </c>
      <c r="E17" s="56">
        <v>8.0</v>
      </c>
      <c r="F17" s="56">
        <v>1.0</v>
      </c>
      <c r="G17" s="56">
        <v>10.0</v>
      </c>
      <c r="H17" s="56">
        <v>10.0</v>
      </c>
      <c r="I17" s="56">
        <v>5.0</v>
      </c>
      <c r="J17" s="56">
        <v>4.0</v>
      </c>
      <c r="K17" s="40"/>
      <c r="L17" s="61">
        <f t="shared" si="1"/>
        <v>38</v>
      </c>
      <c r="M17" s="45">
        <f t="shared" si="3"/>
        <v>26.6</v>
      </c>
      <c r="N17" s="1"/>
    </row>
    <row r="18">
      <c r="C18" s="48" t="s">
        <v>123</v>
      </c>
      <c r="D18" s="48" t="s">
        <v>124</v>
      </c>
      <c r="E18" s="51">
        <v>7.0</v>
      </c>
      <c r="F18" s="51">
        <v>5.0</v>
      </c>
      <c r="G18" s="51">
        <v>10.0</v>
      </c>
      <c r="H18" s="51">
        <v>10.0</v>
      </c>
      <c r="I18" s="51">
        <v>4.5</v>
      </c>
      <c r="J18" s="51">
        <v>5.0</v>
      </c>
      <c r="K18" s="52"/>
      <c r="L18" s="61">
        <f t="shared" si="1"/>
        <v>41.5</v>
      </c>
      <c r="M18" s="53">
        <f t="shared" si="3"/>
        <v>29.05</v>
      </c>
      <c r="N18" s="1"/>
    </row>
    <row r="19">
      <c r="C19" s="36" t="s">
        <v>125</v>
      </c>
      <c r="D19" s="36" t="s">
        <v>126</v>
      </c>
      <c r="E19" s="38">
        <v>2.5</v>
      </c>
      <c r="F19" s="62">
        <v>1.0</v>
      </c>
      <c r="G19" s="62">
        <v>6.0</v>
      </c>
      <c r="H19" s="62">
        <v>10.0</v>
      </c>
      <c r="I19" s="62">
        <v>1.5</v>
      </c>
      <c r="J19" s="62">
        <v>3.0</v>
      </c>
      <c r="K19" s="40"/>
      <c r="L19" s="45">
        <f t="shared" si="1"/>
        <v>24</v>
      </c>
      <c r="M19" s="45">
        <f t="shared" si="3"/>
        <v>16.8</v>
      </c>
      <c r="N19" s="1"/>
    </row>
    <row r="20">
      <c r="C20" s="48" t="s">
        <v>127</v>
      </c>
      <c r="D20" s="48" t="s">
        <v>128</v>
      </c>
      <c r="E20" s="51">
        <v>3.0</v>
      </c>
      <c r="F20" s="51">
        <v>0.0</v>
      </c>
      <c r="G20" s="51">
        <v>7.0</v>
      </c>
      <c r="H20" s="51">
        <v>8.0</v>
      </c>
      <c r="I20" s="51">
        <v>1.5</v>
      </c>
      <c r="J20" s="51">
        <v>3.0</v>
      </c>
      <c r="K20" s="52"/>
      <c r="L20" s="53">
        <f t="shared" si="1"/>
        <v>22.5</v>
      </c>
      <c r="M20" s="53">
        <f t="shared" si="3"/>
        <v>15.75</v>
      </c>
      <c r="N20" s="1"/>
    </row>
    <row r="21">
      <c r="C21" s="36" t="s">
        <v>129</v>
      </c>
      <c r="D21" s="36" t="s">
        <v>130</v>
      </c>
      <c r="E21" s="38">
        <v>6.5</v>
      </c>
      <c r="F21" s="38">
        <v>0.0</v>
      </c>
      <c r="G21" s="38">
        <v>3.0</v>
      </c>
      <c r="H21" s="38">
        <v>9.0</v>
      </c>
      <c r="I21" s="38">
        <v>3.0</v>
      </c>
      <c r="J21" s="38">
        <v>0.5</v>
      </c>
      <c r="K21" s="40"/>
      <c r="L21" s="45">
        <f t="shared" si="1"/>
        <v>22</v>
      </c>
      <c r="M21" s="45">
        <f t="shared" si="3"/>
        <v>15.4</v>
      </c>
      <c r="N21" s="1"/>
    </row>
    <row r="22">
      <c r="C22" s="48" t="s">
        <v>131</v>
      </c>
      <c r="D22" s="48" t="s">
        <v>132</v>
      </c>
      <c r="E22" s="51">
        <v>5.0</v>
      </c>
      <c r="F22" s="51">
        <v>1.0</v>
      </c>
      <c r="G22" s="51">
        <v>9.5</v>
      </c>
      <c r="H22" s="51">
        <v>10.0</v>
      </c>
      <c r="I22" s="51">
        <v>2.5</v>
      </c>
      <c r="J22" s="51">
        <v>3.5</v>
      </c>
      <c r="K22" s="52"/>
      <c r="L22" s="53">
        <f t="shared" si="1"/>
        <v>31.5</v>
      </c>
      <c r="M22" s="53">
        <f t="shared" si="3"/>
        <v>22.05</v>
      </c>
      <c r="N22" s="1"/>
    </row>
    <row r="23">
      <c r="C23" s="36" t="s">
        <v>133</v>
      </c>
      <c r="D23" s="36" t="s">
        <v>134</v>
      </c>
      <c r="E23" s="38">
        <v>6.25</v>
      </c>
      <c r="F23" s="38">
        <v>4.0</v>
      </c>
      <c r="G23" s="38">
        <v>8.0</v>
      </c>
      <c r="H23" s="56">
        <v>8.0</v>
      </c>
      <c r="I23" s="38">
        <v>5.0</v>
      </c>
      <c r="J23" s="38">
        <v>4.0</v>
      </c>
      <c r="K23" s="40"/>
      <c r="L23" s="45">
        <f t="shared" si="1"/>
        <v>35.25</v>
      </c>
      <c r="M23" s="45">
        <f t="shared" si="3"/>
        <v>24.675</v>
      </c>
      <c r="N23" s="1"/>
    </row>
    <row r="24">
      <c r="C24" s="48" t="s">
        <v>135</v>
      </c>
      <c r="D24" s="48" t="s">
        <v>136</v>
      </c>
      <c r="E24" s="63">
        <v>7.25</v>
      </c>
      <c r="F24" s="51">
        <v>3.0</v>
      </c>
      <c r="G24" s="51">
        <v>10.0</v>
      </c>
      <c r="H24" s="51">
        <v>10.0</v>
      </c>
      <c r="I24" s="63">
        <v>7.0</v>
      </c>
      <c r="J24" s="51">
        <v>5.0</v>
      </c>
      <c r="K24" s="52"/>
      <c r="L24" s="61">
        <f t="shared" si="1"/>
        <v>42.25</v>
      </c>
      <c r="M24" s="53">
        <f t="shared" si="3"/>
        <v>29.575</v>
      </c>
      <c r="N24" s="1"/>
    </row>
    <row r="25">
      <c r="C25" s="36" t="s">
        <v>138</v>
      </c>
      <c r="D25" s="36" t="s">
        <v>139</v>
      </c>
      <c r="E25" s="38">
        <v>4.5</v>
      </c>
      <c r="F25" s="38">
        <v>0.0</v>
      </c>
      <c r="G25" s="38">
        <v>5.5</v>
      </c>
      <c r="H25" s="38">
        <v>9.5</v>
      </c>
      <c r="I25" s="38">
        <v>3.5</v>
      </c>
      <c r="J25" s="38">
        <v>4.5</v>
      </c>
      <c r="K25" s="40"/>
      <c r="L25" s="45">
        <f t="shared" si="1"/>
        <v>27.5</v>
      </c>
      <c r="M25" s="45">
        <f t="shared" si="3"/>
        <v>19.25</v>
      </c>
      <c r="N25" s="1"/>
    </row>
    <row r="26">
      <c r="C26" s="48" t="s">
        <v>140</v>
      </c>
      <c r="D26" s="48" t="s">
        <v>141</v>
      </c>
      <c r="E26" s="63">
        <v>6.25</v>
      </c>
      <c r="F26" s="63">
        <v>3.0</v>
      </c>
      <c r="G26" s="63">
        <v>10.0</v>
      </c>
      <c r="H26" s="63">
        <v>10.0</v>
      </c>
      <c r="I26" s="63">
        <v>9.0</v>
      </c>
      <c r="J26" s="63">
        <v>2.5</v>
      </c>
      <c r="K26" s="52"/>
      <c r="L26" s="61">
        <f t="shared" si="1"/>
        <v>40.75</v>
      </c>
      <c r="M26" s="53">
        <f t="shared" si="3"/>
        <v>28.525</v>
      </c>
      <c r="N26" s="1"/>
    </row>
    <row r="27">
      <c r="C27" s="36" t="s">
        <v>142</v>
      </c>
      <c r="D27" s="36" t="s">
        <v>143</v>
      </c>
      <c r="E27" s="38">
        <v>2.0</v>
      </c>
      <c r="F27" s="38">
        <v>3.0</v>
      </c>
      <c r="G27" s="38">
        <v>9.0</v>
      </c>
      <c r="H27" s="38">
        <v>7.0</v>
      </c>
      <c r="I27" s="38">
        <v>3.0</v>
      </c>
      <c r="J27" s="38">
        <v>3.5</v>
      </c>
      <c r="K27" s="40"/>
      <c r="L27" s="45">
        <f t="shared" si="1"/>
        <v>27.5</v>
      </c>
      <c r="M27" s="45">
        <f t="shared" si="3"/>
        <v>19.25</v>
      </c>
      <c r="N27" s="1"/>
    </row>
    <row r="28">
      <c r="C28" s="48" t="s">
        <v>144</v>
      </c>
      <c r="D28" s="48" t="s">
        <v>145</v>
      </c>
      <c r="E28" s="51">
        <v>6.5</v>
      </c>
      <c r="F28" s="51">
        <v>2.0</v>
      </c>
      <c r="G28" s="51">
        <v>10.0</v>
      </c>
      <c r="H28" s="51">
        <v>10.0</v>
      </c>
      <c r="I28" s="63">
        <v>7.5</v>
      </c>
      <c r="J28" s="51">
        <v>3.5</v>
      </c>
      <c r="K28" s="52"/>
      <c r="L28" s="61">
        <f t="shared" si="1"/>
        <v>39.5</v>
      </c>
      <c r="M28" s="53">
        <f t="shared" si="3"/>
        <v>27.65</v>
      </c>
      <c r="N28" s="1"/>
    </row>
    <row r="29">
      <c r="C29" s="36" t="s">
        <v>146</v>
      </c>
      <c r="D29" s="36" t="s">
        <v>147</v>
      </c>
      <c r="E29" s="38">
        <v>5.25</v>
      </c>
      <c r="F29" s="38">
        <v>2.0</v>
      </c>
      <c r="G29" s="38">
        <v>9.5</v>
      </c>
      <c r="H29" s="38">
        <v>10.0</v>
      </c>
      <c r="I29" s="38">
        <v>2.0</v>
      </c>
      <c r="J29" s="38">
        <v>4.0</v>
      </c>
      <c r="K29" s="40"/>
      <c r="L29" s="45">
        <f t="shared" si="1"/>
        <v>32.75</v>
      </c>
      <c r="M29" s="45">
        <f t="shared" si="3"/>
        <v>22.925</v>
      </c>
      <c r="N29" s="1"/>
    </row>
    <row r="30">
      <c r="C30" s="48" t="s">
        <v>148</v>
      </c>
      <c r="D30" s="48" t="s">
        <v>149</v>
      </c>
      <c r="E30" s="63">
        <v>6.5</v>
      </c>
      <c r="F30" s="63">
        <v>3.0</v>
      </c>
      <c r="G30" s="63">
        <v>10.0</v>
      </c>
      <c r="H30" s="63">
        <v>10.0</v>
      </c>
      <c r="I30" s="63">
        <v>5.0</v>
      </c>
      <c r="J30" s="63">
        <v>5.0</v>
      </c>
      <c r="K30" s="52"/>
      <c r="L30" s="61">
        <f t="shared" si="1"/>
        <v>39.5</v>
      </c>
      <c r="M30" s="53">
        <f t="shared" si="3"/>
        <v>27.65</v>
      </c>
      <c r="N30" s="1"/>
    </row>
    <row r="31">
      <c r="C31" s="36" t="s">
        <v>150</v>
      </c>
      <c r="D31" s="36" t="s">
        <v>151</v>
      </c>
      <c r="E31" s="56">
        <v>4.75</v>
      </c>
      <c r="F31" s="56">
        <v>4.0</v>
      </c>
      <c r="G31" s="56">
        <v>9.5</v>
      </c>
      <c r="H31" s="56">
        <v>10.0</v>
      </c>
      <c r="I31" s="56">
        <v>5.5</v>
      </c>
      <c r="J31" s="56">
        <v>3.5</v>
      </c>
      <c r="K31" s="40"/>
      <c r="L31" s="45">
        <f t="shared" si="1"/>
        <v>37.25</v>
      </c>
      <c r="M31" s="45">
        <f t="shared" si="3"/>
        <v>26.075</v>
      </c>
      <c r="N31" s="1"/>
    </row>
    <row r="32">
      <c r="C32" s="48" t="s">
        <v>152</v>
      </c>
      <c r="D32" s="48" t="s">
        <v>153</v>
      </c>
      <c r="E32" s="51">
        <v>7.5</v>
      </c>
      <c r="F32" s="51">
        <v>3.0</v>
      </c>
      <c r="G32" s="51">
        <v>8.5</v>
      </c>
      <c r="H32" s="51">
        <v>9.5</v>
      </c>
      <c r="I32" s="51">
        <v>5.5</v>
      </c>
      <c r="J32" s="51">
        <v>4.0</v>
      </c>
      <c r="K32" s="52"/>
      <c r="L32" s="61">
        <f t="shared" si="1"/>
        <v>38</v>
      </c>
      <c r="M32" s="53">
        <f t="shared" si="3"/>
        <v>26.6</v>
      </c>
      <c r="N32" s="1"/>
    </row>
    <row r="33">
      <c r="C33" s="36" t="s">
        <v>154</v>
      </c>
      <c r="D33" s="36" t="s">
        <v>155</v>
      </c>
      <c r="E33" s="56">
        <v>6.25</v>
      </c>
      <c r="F33" s="56">
        <v>1.0</v>
      </c>
      <c r="G33" s="56">
        <v>9.5</v>
      </c>
      <c r="H33" s="56">
        <v>10.0</v>
      </c>
      <c r="I33" s="56">
        <v>5.5</v>
      </c>
      <c r="J33" s="56">
        <v>3.5</v>
      </c>
      <c r="K33" s="40"/>
      <c r="L33" s="45">
        <f t="shared" si="1"/>
        <v>35.75</v>
      </c>
      <c r="M33" s="45">
        <f t="shared" si="3"/>
        <v>25.025</v>
      </c>
      <c r="N33" s="1"/>
    </row>
    <row r="34">
      <c r="C34" s="48" t="s">
        <v>156</v>
      </c>
      <c r="D34" s="48" t="s">
        <v>157</v>
      </c>
      <c r="E34" s="51">
        <v>8.0</v>
      </c>
      <c r="F34" s="51">
        <v>5.0</v>
      </c>
      <c r="G34" s="51">
        <v>9.5</v>
      </c>
      <c r="H34" s="51">
        <v>10.0</v>
      </c>
      <c r="I34" s="51">
        <v>6.5</v>
      </c>
      <c r="J34" s="51">
        <v>4.0</v>
      </c>
      <c r="K34" s="52"/>
      <c r="L34" s="61">
        <f t="shared" si="1"/>
        <v>43</v>
      </c>
      <c r="M34" s="53">
        <f t="shared" si="3"/>
        <v>30.1</v>
      </c>
      <c r="N34" s="1"/>
    </row>
    <row r="35">
      <c r="C35" s="36" t="s">
        <v>158</v>
      </c>
      <c r="D35" s="36" t="s">
        <v>159</v>
      </c>
      <c r="E35" s="56">
        <v>5.0</v>
      </c>
      <c r="F35" s="56">
        <v>3.0</v>
      </c>
      <c r="G35" s="56">
        <v>9.5</v>
      </c>
      <c r="H35" s="56">
        <v>9.5</v>
      </c>
      <c r="I35" s="56">
        <v>4.5</v>
      </c>
      <c r="J35" s="56">
        <v>4.0</v>
      </c>
      <c r="K35" s="40"/>
      <c r="L35" s="45">
        <f t="shared" si="1"/>
        <v>35.5</v>
      </c>
      <c r="M35" s="45">
        <f t="shared" si="3"/>
        <v>24.85</v>
      </c>
      <c r="N35" s="1"/>
    </row>
    <row r="36">
      <c r="C36" s="48" t="s">
        <v>160</v>
      </c>
      <c r="D36" s="48" t="s">
        <v>161</v>
      </c>
      <c r="E36" s="51">
        <v>6.0</v>
      </c>
      <c r="F36" s="51">
        <v>3.0</v>
      </c>
      <c r="G36" s="51">
        <v>10.0</v>
      </c>
      <c r="H36" s="51">
        <v>10.0</v>
      </c>
      <c r="I36" s="51">
        <v>10.0</v>
      </c>
      <c r="J36" s="51">
        <v>3.5</v>
      </c>
      <c r="K36" s="52"/>
      <c r="L36" s="61">
        <f t="shared" si="1"/>
        <v>42.5</v>
      </c>
      <c r="M36" s="53">
        <f t="shared" si="3"/>
        <v>29.75</v>
      </c>
      <c r="N36" s="1"/>
    </row>
    <row r="37">
      <c r="C37" s="36" t="s">
        <v>162</v>
      </c>
      <c r="D37" s="36" t="s">
        <v>163</v>
      </c>
      <c r="E37" s="38">
        <v>3.5</v>
      </c>
      <c r="F37" s="38">
        <v>2.0</v>
      </c>
      <c r="G37" s="38">
        <v>8.5</v>
      </c>
      <c r="H37" s="38">
        <v>8.0</v>
      </c>
      <c r="I37" s="38">
        <v>5.5</v>
      </c>
      <c r="J37" s="38">
        <v>3.5</v>
      </c>
      <c r="K37" s="40"/>
      <c r="L37" s="45">
        <f t="shared" si="1"/>
        <v>31</v>
      </c>
      <c r="M37" s="45">
        <f t="shared" si="3"/>
        <v>21.7</v>
      </c>
      <c r="N37" s="1"/>
    </row>
    <row r="38">
      <c r="C38" s="48" t="s">
        <v>164</v>
      </c>
      <c r="D38" s="48" t="s">
        <v>165</v>
      </c>
      <c r="E38" s="63">
        <v>8.5</v>
      </c>
      <c r="F38" s="63">
        <v>4.0</v>
      </c>
      <c r="G38" s="63">
        <v>10.0</v>
      </c>
      <c r="H38" s="63">
        <v>10.0</v>
      </c>
      <c r="I38" s="63">
        <v>6.0</v>
      </c>
      <c r="J38" s="63">
        <v>4.5</v>
      </c>
      <c r="K38" s="52"/>
      <c r="L38" s="61">
        <f t="shared" si="1"/>
        <v>43</v>
      </c>
      <c r="M38" s="53">
        <f t="shared" si="3"/>
        <v>30.1</v>
      </c>
      <c r="N38" s="1"/>
    </row>
    <row r="39">
      <c r="C39" s="36" t="s">
        <v>166</v>
      </c>
      <c r="D39" s="36" t="s">
        <v>167</v>
      </c>
      <c r="E39" s="38">
        <v>4.25</v>
      </c>
      <c r="F39" s="38">
        <v>1.0</v>
      </c>
      <c r="G39" s="38">
        <v>8.5</v>
      </c>
      <c r="H39" s="38">
        <v>9.0</v>
      </c>
      <c r="I39" s="38">
        <v>2.5</v>
      </c>
      <c r="J39" s="38">
        <v>1.5</v>
      </c>
      <c r="K39" s="40"/>
      <c r="L39" s="45">
        <f t="shared" si="1"/>
        <v>26.75</v>
      </c>
      <c r="M39" s="45">
        <f t="shared" si="3"/>
        <v>18.725</v>
      </c>
      <c r="N39" s="1"/>
    </row>
    <row r="40">
      <c r="C40" s="48" t="s">
        <v>168</v>
      </c>
      <c r="D40" s="48" t="s">
        <v>169</v>
      </c>
      <c r="E40" s="51">
        <v>2.5</v>
      </c>
      <c r="F40" s="51">
        <v>3.0</v>
      </c>
      <c r="G40" s="51">
        <v>8.0</v>
      </c>
      <c r="H40" s="51">
        <v>10.0</v>
      </c>
      <c r="I40" s="51">
        <v>2.0</v>
      </c>
      <c r="J40" s="51">
        <v>4.0</v>
      </c>
      <c r="K40" s="52"/>
      <c r="L40" s="53">
        <f t="shared" si="1"/>
        <v>29.5</v>
      </c>
      <c r="M40" s="53">
        <f t="shared" si="3"/>
        <v>20.65</v>
      </c>
      <c r="N40" s="1"/>
    </row>
    <row r="41">
      <c r="C41" s="36" t="s">
        <v>170</v>
      </c>
      <c r="D41" s="36" t="s">
        <v>171</v>
      </c>
      <c r="E41" s="38">
        <v>9.5</v>
      </c>
      <c r="F41" s="38">
        <v>3.0</v>
      </c>
      <c r="G41" s="38">
        <v>10.0</v>
      </c>
      <c r="H41" s="38">
        <v>10.0</v>
      </c>
      <c r="I41" s="38">
        <v>8.0</v>
      </c>
      <c r="J41" s="38">
        <v>5.0</v>
      </c>
      <c r="K41" s="40"/>
      <c r="L41" s="61">
        <f t="shared" si="1"/>
        <v>45.5</v>
      </c>
      <c r="M41" s="45">
        <f t="shared" si="3"/>
        <v>31.85</v>
      </c>
      <c r="N41" s="1"/>
    </row>
    <row r="42">
      <c r="C42" s="48" t="s">
        <v>172</v>
      </c>
      <c r="D42" s="48" t="s">
        <v>173</v>
      </c>
      <c r="E42" s="51">
        <v>6.0</v>
      </c>
      <c r="F42" s="51">
        <v>3.0</v>
      </c>
      <c r="G42" s="63">
        <v>8.5</v>
      </c>
      <c r="H42" s="51">
        <v>10.0</v>
      </c>
      <c r="I42" s="63">
        <v>4.5</v>
      </c>
      <c r="J42" s="51">
        <v>3.5</v>
      </c>
      <c r="K42" s="52"/>
      <c r="L42" s="53">
        <f t="shared" si="1"/>
        <v>35.5</v>
      </c>
      <c r="M42" s="53">
        <f t="shared" si="3"/>
        <v>24.85</v>
      </c>
      <c r="N42" s="1"/>
    </row>
    <row r="43">
      <c r="C43" s="36" t="s">
        <v>174</v>
      </c>
      <c r="D43" s="36" t="s">
        <v>175</v>
      </c>
      <c r="E43" s="38">
        <v>7.0</v>
      </c>
      <c r="F43" s="38">
        <v>1.0</v>
      </c>
      <c r="G43" s="38">
        <v>9.0</v>
      </c>
      <c r="H43" s="38">
        <v>10.0</v>
      </c>
      <c r="I43" s="38">
        <v>2.5</v>
      </c>
      <c r="J43" s="38">
        <v>3.0</v>
      </c>
      <c r="K43" s="40"/>
      <c r="L43" s="45">
        <f t="shared" si="1"/>
        <v>32.5</v>
      </c>
      <c r="M43" s="45">
        <f t="shared" si="3"/>
        <v>22.75</v>
      </c>
      <c r="N43" s="1"/>
    </row>
    <row r="44">
      <c r="L44" s="1"/>
      <c r="M44" s="1"/>
      <c r="N44" s="1"/>
    </row>
    <row r="45">
      <c r="L45" s="1"/>
      <c r="M45" s="1"/>
      <c r="N45" s="1"/>
    </row>
    <row r="46">
      <c r="L46" s="1"/>
      <c r="M46" s="1"/>
      <c r="N46" s="1"/>
    </row>
    <row r="47">
      <c r="L47" s="1"/>
      <c r="M47" s="1"/>
      <c r="N47" s="1"/>
    </row>
    <row r="48">
      <c r="L48" s="1"/>
      <c r="M48" s="1"/>
      <c r="N48" s="1"/>
    </row>
    <row r="49">
      <c r="L49" s="1"/>
      <c r="M49" s="1"/>
      <c r="N49" s="1"/>
    </row>
    <row r="50">
      <c r="L50" s="1"/>
      <c r="M50" s="1"/>
      <c r="N50" s="1"/>
    </row>
    <row r="51">
      <c r="L51" s="1"/>
      <c r="M51" s="1"/>
      <c r="N51" s="1"/>
    </row>
    <row r="52">
      <c r="L52" s="1"/>
      <c r="M52" s="1"/>
      <c r="N52" s="1"/>
    </row>
    <row r="53">
      <c r="L53" s="1"/>
      <c r="M53" s="1"/>
      <c r="N53" s="1"/>
    </row>
    <row r="54">
      <c r="L54" s="1"/>
      <c r="M54" s="1"/>
      <c r="N54" s="1"/>
    </row>
    <row r="55">
      <c r="L55" s="1"/>
      <c r="M55" s="1"/>
      <c r="N55" s="1"/>
    </row>
    <row r="56">
      <c r="L56" s="1"/>
      <c r="M56" s="1"/>
      <c r="N56" s="1"/>
    </row>
    <row r="57">
      <c r="L57" s="1"/>
      <c r="M57" s="1"/>
      <c r="N57" s="1"/>
    </row>
    <row r="58">
      <c r="L58" s="1"/>
      <c r="M58" s="1"/>
      <c r="N58" s="1"/>
    </row>
    <row r="59">
      <c r="L59" s="1"/>
      <c r="M59" s="1"/>
      <c r="N59" s="1"/>
    </row>
    <row r="60">
      <c r="L60" s="1"/>
      <c r="M60" s="1"/>
      <c r="N60" s="1"/>
    </row>
    <row r="61">
      <c r="L61" s="1"/>
      <c r="M61" s="1"/>
      <c r="N61" s="1"/>
    </row>
    <row r="62">
      <c r="L62" s="1"/>
      <c r="M62" s="1"/>
      <c r="N62" s="1"/>
    </row>
    <row r="63">
      <c r="L63" s="1"/>
      <c r="M63" s="1"/>
      <c r="N63" s="1"/>
    </row>
    <row r="64">
      <c r="L64" s="1"/>
      <c r="M64" s="1"/>
      <c r="N64" s="1"/>
    </row>
    <row r="65">
      <c r="L65" s="1"/>
      <c r="M65" s="1"/>
      <c r="N65" s="1"/>
    </row>
    <row r="66">
      <c r="L66" s="1"/>
      <c r="M66" s="1"/>
      <c r="N66" s="1"/>
    </row>
    <row r="67">
      <c r="L67" s="1"/>
      <c r="M67" s="1"/>
      <c r="N67" s="1"/>
    </row>
    <row r="68">
      <c r="L68" s="1"/>
      <c r="M68" s="1"/>
      <c r="N68" s="1"/>
    </row>
    <row r="69">
      <c r="L69" s="1"/>
      <c r="M69" s="1"/>
      <c r="N69" s="1"/>
    </row>
    <row r="70">
      <c r="L70" s="1"/>
      <c r="M70" s="1"/>
      <c r="N70" s="1"/>
    </row>
    <row r="71">
      <c r="L71" s="1"/>
      <c r="M71" s="1"/>
      <c r="N71" s="1"/>
    </row>
    <row r="72">
      <c r="L72" s="1"/>
      <c r="M72" s="1"/>
      <c r="N72" s="1"/>
    </row>
    <row r="73">
      <c r="L73" s="1"/>
      <c r="M73" s="1"/>
      <c r="N73" s="1"/>
    </row>
    <row r="74">
      <c r="L74" s="1"/>
      <c r="M74" s="1"/>
      <c r="N74" s="1"/>
    </row>
    <row r="75">
      <c r="L75" s="1"/>
      <c r="M75" s="1"/>
      <c r="N75" s="1"/>
    </row>
    <row r="76">
      <c r="L76" s="1"/>
      <c r="M76" s="1"/>
      <c r="N76" s="1"/>
    </row>
    <row r="77">
      <c r="L77" s="1"/>
      <c r="M77" s="1"/>
      <c r="N77" s="1"/>
    </row>
    <row r="78">
      <c r="L78" s="1"/>
      <c r="M78" s="1"/>
      <c r="N78" s="1"/>
    </row>
    <row r="79">
      <c r="L79" s="1"/>
      <c r="M79" s="1"/>
      <c r="N79" s="1"/>
    </row>
    <row r="80">
      <c r="L80" s="1"/>
      <c r="M80" s="1"/>
      <c r="N80" s="1"/>
    </row>
    <row r="81">
      <c r="L81" s="1"/>
      <c r="M81" s="1"/>
      <c r="N81" s="1"/>
    </row>
    <row r="82">
      <c r="L82" s="1"/>
      <c r="M82" s="1"/>
      <c r="N82" s="1"/>
    </row>
    <row r="83">
      <c r="L83" s="1"/>
      <c r="M83" s="1"/>
      <c r="N83" s="1"/>
    </row>
    <row r="84">
      <c r="L84" s="1"/>
      <c r="M84" s="1"/>
      <c r="N84" s="1"/>
    </row>
    <row r="85">
      <c r="L85" s="1"/>
      <c r="M85" s="1"/>
      <c r="N85" s="1"/>
    </row>
    <row r="86">
      <c r="L86" s="1"/>
      <c r="M86" s="1"/>
      <c r="N86" s="1"/>
    </row>
    <row r="87">
      <c r="L87" s="1"/>
      <c r="M87" s="1"/>
      <c r="N87" s="1"/>
    </row>
    <row r="88">
      <c r="L88" s="1"/>
      <c r="M88" s="1"/>
      <c r="N88" s="1"/>
    </row>
    <row r="89">
      <c r="L89" s="1"/>
      <c r="M89" s="1"/>
      <c r="N89" s="1"/>
    </row>
    <row r="90">
      <c r="L90" s="1"/>
      <c r="M90" s="1"/>
      <c r="N90" s="1"/>
    </row>
    <row r="91">
      <c r="L91" s="1"/>
      <c r="M91" s="1"/>
      <c r="N91" s="1"/>
    </row>
    <row r="92">
      <c r="L92" s="1"/>
      <c r="M92" s="1"/>
      <c r="N92" s="1"/>
    </row>
    <row r="93">
      <c r="L93" s="1"/>
      <c r="M93" s="1"/>
      <c r="N93" s="1"/>
    </row>
    <row r="94">
      <c r="L94" s="1"/>
      <c r="M94" s="1"/>
      <c r="N94" s="1"/>
    </row>
    <row r="95">
      <c r="L95" s="1"/>
      <c r="M95" s="1"/>
      <c r="N95" s="1"/>
    </row>
    <row r="96">
      <c r="L96" s="1"/>
      <c r="M96" s="1"/>
      <c r="N96" s="1"/>
    </row>
    <row r="97">
      <c r="L97" s="1"/>
      <c r="M97" s="1"/>
      <c r="N97" s="1"/>
    </row>
    <row r="98">
      <c r="L98" s="1"/>
      <c r="M98" s="1"/>
      <c r="N98" s="1"/>
    </row>
    <row r="99">
      <c r="L99" s="1"/>
      <c r="M99" s="1"/>
      <c r="N99" s="1"/>
    </row>
    <row r="100">
      <c r="L100" s="1"/>
      <c r="M100" s="1"/>
      <c r="N100" s="1"/>
    </row>
    <row r="101">
      <c r="L101" s="1"/>
      <c r="M101" s="1"/>
      <c r="N101" s="1"/>
    </row>
    <row r="102">
      <c r="L102" s="1"/>
      <c r="M102" s="1"/>
      <c r="N102" s="1"/>
    </row>
    <row r="103">
      <c r="L103" s="1"/>
      <c r="M103" s="1"/>
      <c r="N103" s="1"/>
    </row>
    <row r="104">
      <c r="L104" s="1"/>
      <c r="M104" s="1"/>
      <c r="N104" s="1"/>
    </row>
    <row r="105">
      <c r="L105" s="1"/>
      <c r="M105" s="1"/>
      <c r="N105" s="1"/>
    </row>
    <row r="106">
      <c r="L106" s="1"/>
      <c r="M106" s="1"/>
      <c r="N106" s="1"/>
    </row>
    <row r="107">
      <c r="L107" s="1"/>
      <c r="M107" s="1"/>
      <c r="N107" s="1"/>
    </row>
    <row r="108">
      <c r="L108" s="1"/>
      <c r="M108" s="1"/>
      <c r="N108" s="1"/>
    </row>
    <row r="109">
      <c r="L109" s="1"/>
      <c r="M109" s="1"/>
      <c r="N109" s="1"/>
    </row>
    <row r="110">
      <c r="L110" s="1"/>
      <c r="M110" s="1"/>
      <c r="N110" s="1"/>
    </row>
    <row r="111">
      <c r="L111" s="1"/>
      <c r="M111" s="1"/>
      <c r="N111" s="1"/>
    </row>
    <row r="112">
      <c r="L112" s="1"/>
      <c r="M112" s="1"/>
      <c r="N112" s="1"/>
    </row>
    <row r="113">
      <c r="L113" s="1"/>
      <c r="M113" s="1"/>
      <c r="N113" s="1"/>
    </row>
    <row r="114">
      <c r="L114" s="1"/>
      <c r="M114" s="1"/>
      <c r="N114" s="1"/>
    </row>
    <row r="115">
      <c r="L115" s="1"/>
      <c r="M115" s="1"/>
      <c r="N115" s="1"/>
    </row>
    <row r="116">
      <c r="L116" s="1"/>
      <c r="M116" s="1"/>
      <c r="N116" s="1"/>
    </row>
    <row r="117">
      <c r="L117" s="1"/>
      <c r="M117" s="1"/>
      <c r="N117" s="1"/>
    </row>
    <row r="118">
      <c r="L118" s="1"/>
      <c r="M118" s="1"/>
      <c r="N118" s="1"/>
    </row>
    <row r="119">
      <c r="L119" s="1"/>
      <c r="M119" s="1"/>
      <c r="N119" s="1"/>
    </row>
    <row r="120">
      <c r="L120" s="1"/>
      <c r="M120" s="1"/>
      <c r="N120" s="1"/>
    </row>
    <row r="121">
      <c r="L121" s="1"/>
      <c r="M121" s="1"/>
      <c r="N121" s="1"/>
    </row>
    <row r="122">
      <c r="L122" s="1"/>
      <c r="M122" s="1"/>
      <c r="N122" s="1"/>
    </row>
    <row r="123">
      <c r="L123" s="1"/>
      <c r="M123" s="1"/>
      <c r="N123" s="1"/>
    </row>
    <row r="124">
      <c r="L124" s="1"/>
      <c r="M124" s="1"/>
      <c r="N124" s="1"/>
    </row>
    <row r="125">
      <c r="L125" s="1"/>
      <c r="M125" s="1"/>
      <c r="N125" s="1"/>
    </row>
    <row r="126">
      <c r="L126" s="1"/>
      <c r="M126" s="1"/>
      <c r="N126" s="1"/>
    </row>
    <row r="127">
      <c r="L127" s="1"/>
      <c r="M127" s="1"/>
      <c r="N127" s="1"/>
    </row>
    <row r="128">
      <c r="L128" s="1"/>
      <c r="M128" s="1"/>
      <c r="N128" s="1"/>
    </row>
    <row r="129">
      <c r="L129" s="1"/>
      <c r="M129" s="1"/>
      <c r="N129" s="1"/>
    </row>
    <row r="130">
      <c r="L130" s="1"/>
      <c r="M130" s="1"/>
      <c r="N130" s="1"/>
    </row>
    <row r="131">
      <c r="L131" s="1"/>
      <c r="M131" s="1"/>
      <c r="N131" s="1"/>
    </row>
    <row r="132">
      <c r="L132" s="1"/>
      <c r="M132" s="1"/>
      <c r="N132" s="1"/>
    </row>
    <row r="133">
      <c r="L133" s="1"/>
      <c r="M133" s="1"/>
      <c r="N133" s="1"/>
    </row>
    <row r="134">
      <c r="L134" s="1"/>
      <c r="M134" s="1"/>
      <c r="N134" s="1"/>
    </row>
    <row r="135">
      <c r="L135" s="1"/>
      <c r="M135" s="1"/>
      <c r="N135" s="1"/>
    </row>
    <row r="136">
      <c r="L136" s="1"/>
      <c r="M136" s="1"/>
      <c r="N136" s="1"/>
    </row>
    <row r="137">
      <c r="L137" s="1"/>
      <c r="M137" s="1"/>
      <c r="N137" s="1"/>
    </row>
    <row r="138">
      <c r="L138" s="1"/>
      <c r="M138" s="1"/>
      <c r="N138" s="1"/>
    </row>
    <row r="139">
      <c r="L139" s="1"/>
      <c r="M139" s="1"/>
      <c r="N139" s="1"/>
    </row>
    <row r="140">
      <c r="L140" s="1"/>
      <c r="M140" s="1"/>
      <c r="N140" s="1"/>
    </row>
    <row r="141">
      <c r="L141" s="1"/>
      <c r="M141" s="1"/>
      <c r="N141" s="1"/>
    </row>
    <row r="142">
      <c r="L142" s="1"/>
      <c r="M142" s="1"/>
      <c r="N142" s="1"/>
    </row>
    <row r="143">
      <c r="L143" s="1"/>
      <c r="M143" s="1"/>
      <c r="N143" s="1"/>
    </row>
    <row r="144">
      <c r="L144" s="1"/>
      <c r="M144" s="1"/>
      <c r="N144" s="1"/>
    </row>
    <row r="145">
      <c r="L145" s="1"/>
      <c r="M145" s="1"/>
      <c r="N145" s="1"/>
    </row>
    <row r="146">
      <c r="L146" s="1"/>
      <c r="M146" s="1"/>
      <c r="N146" s="1"/>
    </row>
    <row r="147">
      <c r="L147" s="1"/>
      <c r="M147" s="1"/>
      <c r="N147" s="1"/>
    </row>
    <row r="148">
      <c r="L148" s="1"/>
      <c r="M148" s="1"/>
      <c r="N148" s="1"/>
    </row>
    <row r="149">
      <c r="L149" s="1"/>
      <c r="M149" s="1"/>
      <c r="N149" s="1"/>
    </row>
    <row r="150">
      <c r="L150" s="1"/>
      <c r="M150" s="1"/>
      <c r="N150" s="1"/>
    </row>
    <row r="151">
      <c r="L151" s="1"/>
      <c r="M151" s="1"/>
      <c r="N151" s="1"/>
    </row>
    <row r="152">
      <c r="L152" s="1"/>
      <c r="M152" s="1"/>
      <c r="N152" s="1"/>
    </row>
    <row r="153">
      <c r="L153" s="1"/>
      <c r="M153" s="1"/>
      <c r="N153" s="1"/>
    </row>
    <row r="154">
      <c r="L154" s="1"/>
      <c r="M154" s="1"/>
      <c r="N154" s="1"/>
    </row>
    <row r="155">
      <c r="L155" s="1"/>
      <c r="M155" s="1"/>
      <c r="N155" s="1"/>
    </row>
    <row r="156">
      <c r="L156" s="1"/>
      <c r="M156" s="1"/>
      <c r="N156" s="1"/>
    </row>
    <row r="157">
      <c r="L157" s="1"/>
      <c r="M157" s="1"/>
      <c r="N157" s="1"/>
    </row>
    <row r="158">
      <c r="L158" s="1"/>
      <c r="M158" s="1"/>
      <c r="N158" s="1"/>
    </row>
    <row r="159">
      <c r="L159" s="1"/>
      <c r="M159" s="1"/>
      <c r="N159" s="1"/>
    </row>
    <row r="160">
      <c r="L160" s="1"/>
      <c r="M160" s="1"/>
      <c r="N160" s="1"/>
    </row>
    <row r="161">
      <c r="L161" s="1"/>
      <c r="M161" s="1"/>
      <c r="N161" s="1"/>
    </row>
    <row r="162">
      <c r="L162" s="1"/>
      <c r="M162" s="1"/>
      <c r="N162" s="1"/>
    </row>
    <row r="163">
      <c r="L163" s="1"/>
      <c r="M163" s="1"/>
      <c r="N163" s="1"/>
    </row>
    <row r="164">
      <c r="L164" s="1"/>
      <c r="M164" s="1"/>
      <c r="N164" s="1"/>
    </row>
    <row r="165">
      <c r="L165" s="1"/>
      <c r="M165" s="1"/>
      <c r="N165" s="1"/>
    </row>
    <row r="166">
      <c r="L166" s="1"/>
      <c r="M166" s="1"/>
      <c r="N166" s="1"/>
    </row>
    <row r="167">
      <c r="L167" s="1"/>
      <c r="M167" s="1"/>
      <c r="N167" s="1"/>
    </row>
    <row r="168">
      <c r="L168" s="1"/>
      <c r="M168" s="1"/>
      <c r="N168" s="1"/>
    </row>
    <row r="169">
      <c r="L169" s="1"/>
      <c r="M169" s="1"/>
      <c r="N169" s="1"/>
    </row>
    <row r="170">
      <c r="L170" s="1"/>
      <c r="M170" s="1"/>
      <c r="N170" s="1"/>
    </row>
    <row r="171">
      <c r="L171" s="1"/>
      <c r="M171" s="1"/>
      <c r="N171" s="1"/>
    </row>
    <row r="172">
      <c r="L172" s="1"/>
      <c r="M172" s="1"/>
      <c r="N172" s="1"/>
    </row>
    <row r="173">
      <c r="L173" s="1"/>
      <c r="M173" s="1"/>
      <c r="N173" s="1"/>
    </row>
    <row r="174">
      <c r="L174" s="1"/>
      <c r="M174" s="1"/>
      <c r="N174" s="1"/>
    </row>
    <row r="175">
      <c r="L175" s="1"/>
      <c r="M175" s="1"/>
      <c r="N175" s="1"/>
    </row>
    <row r="176">
      <c r="L176" s="1"/>
      <c r="M176" s="1"/>
      <c r="N176" s="1"/>
    </row>
    <row r="177">
      <c r="L177" s="1"/>
      <c r="M177" s="1"/>
      <c r="N177" s="1"/>
    </row>
    <row r="178">
      <c r="L178" s="1"/>
      <c r="M178" s="1"/>
      <c r="N178" s="1"/>
    </row>
    <row r="179">
      <c r="L179" s="1"/>
      <c r="M179" s="1"/>
      <c r="N179" s="1"/>
    </row>
    <row r="180">
      <c r="L180" s="1"/>
      <c r="M180" s="1"/>
      <c r="N180" s="1"/>
    </row>
    <row r="181">
      <c r="L181" s="1"/>
      <c r="M181" s="1"/>
      <c r="N181" s="1"/>
    </row>
    <row r="182">
      <c r="L182" s="1"/>
      <c r="M182" s="1"/>
      <c r="N182" s="1"/>
    </row>
    <row r="183">
      <c r="L183" s="1"/>
      <c r="M183" s="1"/>
      <c r="N183" s="1"/>
    </row>
    <row r="184">
      <c r="L184" s="1"/>
      <c r="M184" s="1"/>
      <c r="N184" s="1"/>
    </row>
    <row r="185">
      <c r="L185" s="1"/>
      <c r="M185" s="1"/>
      <c r="N185" s="1"/>
    </row>
    <row r="186">
      <c r="L186" s="1"/>
      <c r="M186" s="1"/>
      <c r="N186" s="1"/>
    </row>
    <row r="187">
      <c r="L187" s="1"/>
      <c r="M187" s="1"/>
      <c r="N187" s="1"/>
    </row>
    <row r="188">
      <c r="L188" s="1"/>
      <c r="M188" s="1"/>
      <c r="N188" s="1"/>
    </row>
    <row r="189">
      <c r="L189" s="1"/>
      <c r="M189" s="1"/>
      <c r="N189" s="1"/>
    </row>
    <row r="190">
      <c r="L190" s="1"/>
      <c r="M190" s="1"/>
      <c r="N190" s="1"/>
    </row>
    <row r="191">
      <c r="L191" s="1"/>
      <c r="M191" s="1"/>
      <c r="N191" s="1"/>
    </row>
    <row r="192">
      <c r="L192" s="1"/>
      <c r="M192" s="1"/>
      <c r="N192" s="1"/>
    </row>
    <row r="193">
      <c r="L193" s="1"/>
      <c r="M193" s="1"/>
      <c r="N193" s="1"/>
    </row>
    <row r="194">
      <c r="L194" s="1"/>
      <c r="M194" s="1"/>
      <c r="N194" s="1"/>
    </row>
    <row r="195">
      <c r="L195" s="1"/>
      <c r="M195" s="1"/>
      <c r="N195" s="1"/>
    </row>
    <row r="196">
      <c r="L196" s="1"/>
      <c r="M196" s="1"/>
      <c r="N196" s="1"/>
    </row>
    <row r="197">
      <c r="L197" s="1"/>
      <c r="M197" s="1"/>
      <c r="N197" s="1"/>
    </row>
    <row r="198">
      <c r="L198" s="1"/>
      <c r="M198" s="1"/>
      <c r="N198" s="1"/>
    </row>
    <row r="199">
      <c r="L199" s="1"/>
      <c r="M199" s="1"/>
      <c r="N199" s="1"/>
    </row>
    <row r="200">
      <c r="L200" s="1"/>
      <c r="M200" s="1"/>
      <c r="N200" s="1"/>
    </row>
    <row r="201">
      <c r="L201" s="1"/>
      <c r="M201" s="1"/>
      <c r="N201" s="1"/>
    </row>
    <row r="202">
      <c r="L202" s="1"/>
      <c r="M202" s="1"/>
      <c r="N202" s="1"/>
    </row>
    <row r="203">
      <c r="L203" s="1"/>
      <c r="M203" s="1"/>
      <c r="N203" s="1"/>
    </row>
    <row r="204">
      <c r="L204" s="1"/>
      <c r="M204" s="1"/>
      <c r="N204" s="1"/>
    </row>
    <row r="205">
      <c r="L205" s="1"/>
      <c r="M205" s="1"/>
      <c r="N205" s="1"/>
    </row>
    <row r="206">
      <c r="L206" s="1"/>
      <c r="M206" s="1"/>
      <c r="N206" s="1"/>
    </row>
    <row r="207">
      <c r="L207" s="1"/>
      <c r="M207" s="1"/>
      <c r="N207" s="1"/>
    </row>
    <row r="208">
      <c r="L208" s="1"/>
      <c r="M208" s="1"/>
      <c r="N208" s="1"/>
    </row>
    <row r="209">
      <c r="L209" s="1"/>
      <c r="M209" s="1"/>
      <c r="N209" s="1"/>
    </row>
    <row r="210">
      <c r="L210" s="1"/>
      <c r="M210" s="1"/>
      <c r="N210" s="1"/>
    </row>
    <row r="211">
      <c r="L211" s="1"/>
      <c r="M211" s="1"/>
      <c r="N211" s="1"/>
    </row>
    <row r="212">
      <c r="L212" s="1"/>
      <c r="M212" s="1"/>
      <c r="N212" s="1"/>
    </row>
    <row r="213">
      <c r="L213" s="1"/>
      <c r="M213" s="1"/>
      <c r="N213" s="1"/>
    </row>
    <row r="214">
      <c r="L214" s="1"/>
      <c r="M214" s="1"/>
      <c r="N214" s="1"/>
    </row>
    <row r="215">
      <c r="L215" s="1"/>
      <c r="M215" s="1"/>
      <c r="N215" s="1"/>
    </row>
    <row r="216">
      <c r="L216" s="1"/>
      <c r="M216" s="1"/>
      <c r="N216" s="1"/>
    </row>
    <row r="217">
      <c r="L217" s="1"/>
      <c r="M217" s="1"/>
      <c r="N217" s="1"/>
    </row>
    <row r="218">
      <c r="L218" s="1"/>
      <c r="M218" s="1"/>
      <c r="N218" s="1"/>
    </row>
    <row r="219">
      <c r="L219" s="1"/>
      <c r="M219" s="1"/>
      <c r="N219" s="1"/>
    </row>
    <row r="220">
      <c r="L220" s="1"/>
      <c r="M220" s="1"/>
      <c r="N220" s="1"/>
    </row>
    <row r="221">
      <c r="L221" s="1"/>
      <c r="M221" s="1"/>
      <c r="N221" s="1"/>
    </row>
    <row r="222">
      <c r="L222" s="1"/>
      <c r="M222" s="1"/>
      <c r="N222" s="1"/>
    </row>
    <row r="223">
      <c r="L223" s="1"/>
      <c r="M223" s="1"/>
      <c r="N223" s="1"/>
    </row>
    <row r="224">
      <c r="L224" s="1"/>
      <c r="M224" s="1"/>
      <c r="N224" s="1"/>
    </row>
    <row r="225">
      <c r="L225" s="1"/>
      <c r="M225" s="1"/>
      <c r="N225" s="1"/>
    </row>
    <row r="226">
      <c r="L226" s="1"/>
      <c r="M226" s="1"/>
      <c r="N226" s="1"/>
    </row>
    <row r="227">
      <c r="L227" s="1"/>
      <c r="M227" s="1"/>
      <c r="N227" s="1"/>
    </row>
    <row r="228">
      <c r="L228" s="1"/>
      <c r="M228" s="1"/>
      <c r="N228" s="1"/>
    </row>
    <row r="229">
      <c r="L229" s="1"/>
      <c r="M229" s="1"/>
      <c r="N229" s="1"/>
    </row>
    <row r="230">
      <c r="L230" s="1"/>
      <c r="M230" s="1"/>
      <c r="N230" s="1"/>
    </row>
    <row r="231">
      <c r="L231" s="1"/>
      <c r="M231" s="1"/>
      <c r="N231" s="1"/>
    </row>
    <row r="232">
      <c r="L232" s="1"/>
      <c r="M232" s="1"/>
      <c r="N232" s="1"/>
    </row>
    <row r="233">
      <c r="L233" s="1"/>
      <c r="M233" s="1"/>
      <c r="N233" s="1"/>
    </row>
    <row r="234">
      <c r="L234" s="1"/>
      <c r="M234" s="1"/>
      <c r="N234" s="1"/>
    </row>
    <row r="235">
      <c r="L235" s="1"/>
      <c r="M235" s="1"/>
      <c r="N235" s="1"/>
    </row>
    <row r="236">
      <c r="L236" s="1"/>
      <c r="M236" s="1"/>
      <c r="N236" s="1"/>
    </row>
    <row r="237">
      <c r="L237" s="1"/>
      <c r="M237" s="1"/>
      <c r="N237" s="1"/>
    </row>
    <row r="238">
      <c r="L238" s="1"/>
      <c r="M238" s="1"/>
      <c r="N238" s="1"/>
    </row>
    <row r="239">
      <c r="L239" s="1"/>
      <c r="M239" s="1"/>
      <c r="N239" s="1"/>
    </row>
    <row r="240">
      <c r="L240" s="1"/>
      <c r="M240" s="1"/>
      <c r="N240" s="1"/>
    </row>
    <row r="241">
      <c r="L241" s="1"/>
      <c r="M241" s="1"/>
      <c r="N241" s="1"/>
    </row>
    <row r="242">
      <c r="L242" s="1"/>
      <c r="M242" s="1"/>
      <c r="N242" s="1"/>
    </row>
    <row r="243">
      <c r="L243" s="1"/>
      <c r="M243" s="1"/>
      <c r="N243" s="1"/>
    </row>
    <row r="244">
      <c r="L244" s="1"/>
      <c r="M244" s="1"/>
      <c r="N244" s="1"/>
    </row>
    <row r="245">
      <c r="L245" s="1"/>
      <c r="M245" s="1"/>
      <c r="N245" s="1"/>
    </row>
    <row r="246">
      <c r="L246" s="1"/>
      <c r="M246" s="1"/>
      <c r="N246" s="1"/>
    </row>
    <row r="247">
      <c r="L247" s="1"/>
      <c r="M247" s="1"/>
      <c r="N247" s="1"/>
    </row>
    <row r="248">
      <c r="L248" s="1"/>
      <c r="M248" s="1"/>
      <c r="N248" s="1"/>
    </row>
    <row r="249">
      <c r="L249" s="1"/>
      <c r="M249" s="1"/>
      <c r="N249" s="1"/>
    </row>
    <row r="250">
      <c r="L250" s="1"/>
      <c r="M250" s="1"/>
      <c r="N250" s="1"/>
    </row>
    <row r="251">
      <c r="L251" s="1"/>
      <c r="M251" s="1"/>
      <c r="N251" s="1"/>
    </row>
    <row r="252">
      <c r="L252" s="1"/>
      <c r="M252" s="1"/>
      <c r="N252" s="1"/>
    </row>
    <row r="253">
      <c r="L253" s="1"/>
      <c r="M253" s="1"/>
      <c r="N253" s="1"/>
    </row>
    <row r="254">
      <c r="L254" s="1"/>
      <c r="M254" s="1"/>
      <c r="N254" s="1"/>
    </row>
    <row r="255">
      <c r="L255" s="1"/>
      <c r="M255" s="1"/>
      <c r="N255" s="1"/>
    </row>
    <row r="256">
      <c r="L256" s="1"/>
      <c r="M256" s="1"/>
      <c r="N256" s="1"/>
    </row>
    <row r="257">
      <c r="L257" s="1"/>
      <c r="M257" s="1"/>
      <c r="N257" s="1"/>
    </row>
    <row r="258">
      <c r="L258" s="1"/>
      <c r="M258" s="1"/>
      <c r="N258" s="1"/>
    </row>
    <row r="259">
      <c r="L259" s="1"/>
      <c r="M259" s="1"/>
      <c r="N259" s="1"/>
    </row>
    <row r="260">
      <c r="L260" s="1"/>
      <c r="M260" s="1"/>
      <c r="N260" s="1"/>
    </row>
    <row r="261">
      <c r="L261" s="1"/>
      <c r="M261" s="1"/>
      <c r="N261" s="1"/>
    </row>
    <row r="262">
      <c r="L262" s="1"/>
      <c r="M262" s="1"/>
      <c r="N262" s="1"/>
    </row>
    <row r="263">
      <c r="L263" s="1"/>
      <c r="M263" s="1"/>
      <c r="N263" s="1"/>
    </row>
    <row r="264">
      <c r="L264" s="1"/>
      <c r="M264" s="1"/>
      <c r="N264" s="1"/>
    </row>
    <row r="265">
      <c r="L265" s="1"/>
      <c r="M265" s="1"/>
      <c r="N265" s="1"/>
    </row>
    <row r="266">
      <c r="L266" s="1"/>
      <c r="M266" s="1"/>
      <c r="N266" s="1"/>
    </row>
    <row r="267">
      <c r="L267" s="1"/>
      <c r="M267" s="1"/>
      <c r="N267" s="1"/>
    </row>
    <row r="268">
      <c r="L268" s="1"/>
      <c r="M268" s="1"/>
      <c r="N268" s="1"/>
    </row>
    <row r="269">
      <c r="L269" s="1"/>
      <c r="M269" s="1"/>
      <c r="N269" s="1"/>
    </row>
    <row r="270">
      <c r="L270" s="1"/>
      <c r="M270" s="1"/>
      <c r="N270" s="1"/>
    </row>
    <row r="271">
      <c r="L271" s="1"/>
      <c r="M271" s="1"/>
      <c r="N271" s="1"/>
    </row>
    <row r="272">
      <c r="L272" s="1"/>
      <c r="M272" s="1"/>
      <c r="N272" s="1"/>
    </row>
    <row r="273">
      <c r="L273" s="1"/>
      <c r="M273" s="1"/>
      <c r="N273" s="1"/>
    </row>
    <row r="274">
      <c r="L274" s="1"/>
      <c r="M274" s="1"/>
      <c r="N274" s="1"/>
    </row>
    <row r="275">
      <c r="L275" s="1"/>
      <c r="M275" s="1"/>
      <c r="N275" s="1"/>
    </row>
    <row r="276">
      <c r="L276" s="1"/>
      <c r="M276" s="1"/>
      <c r="N276" s="1"/>
    </row>
    <row r="277">
      <c r="L277" s="1"/>
      <c r="M277" s="1"/>
      <c r="N277" s="1"/>
    </row>
    <row r="278">
      <c r="L278" s="1"/>
      <c r="M278" s="1"/>
      <c r="N278" s="1"/>
    </row>
    <row r="279">
      <c r="L279" s="1"/>
      <c r="M279" s="1"/>
      <c r="N279" s="1"/>
    </row>
    <row r="280">
      <c r="L280" s="1"/>
      <c r="M280" s="1"/>
      <c r="N280" s="1"/>
    </row>
    <row r="281">
      <c r="L281" s="1"/>
      <c r="M281" s="1"/>
      <c r="N281" s="1"/>
    </row>
    <row r="282">
      <c r="L282" s="1"/>
      <c r="M282" s="1"/>
      <c r="N282" s="1"/>
    </row>
    <row r="283">
      <c r="L283" s="1"/>
      <c r="M283" s="1"/>
      <c r="N283" s="1"/>
    </row>
    <row r="284">
      <c r="L284" s="1"/>
      <c r="M284" s="1"/>
      <c r="N284" s="1"/>
    </row>
    <row r="285">
      <c r="L285" s="1"/>
      <c r="M285" s="1"/>
      <c r="N285" s="1"/>
    </row>
    <row r="286">
      <c r="L286" s="1"/>
      <c r="M286" s="1"/>
      <c r="N286" s="1"/>
    </row>
    <row r="287">
      <c r="L287" s="1"/>
      <c r="M287" s="1"/>
      <c r="N287" s="1"/>
    </row>
    <row r="288">
      <c r="L288" s="1"/>
      <c r="M288" s="1"/>
      <c r="N288" s="1"/>
    </row>
    <row r="289">
      <c r="L289" s="1"/>
      <c r="M289" s="1"/>
      <c r="N289" s="1"/>
    </row>
    <row r="290">
      <c r="L290" s="1"/>
      <c r="M290" s="1"/>
      <c r="N290" s="1"/>
    </row>
    <row r="291">
      <c r="L291" s="1"/>
      <c r="M291" s="1"/>
      <c r="N291" s="1"/>
    </row>
    <row r="292">
      <c r="L292" s="1"/>
      <c r="M292" s="1"/>
      <c r="N292" s="1"/>
    </row>
    <row r="293">
      <c r="L293" s="1"/>
      <c r="M293" s="1"/>
      <c r="N293" s="1"/>
    </row>
    <row r="294">
      <c r="L294" s="1"/>
      <c r="M294" s="1"/>
      <c r="N294" s="1"/>
    </row>
    <row r="295">
      <c r="L295" s="1"/>
      <c r="M295" s="1"/>
      <c r="N295" s="1"/>
    </row>
    <row r="296">
      <c r="L296" s="1"/>
      <c r="M296" s="1"/>
      <c r="N296" s="1"/>
    </row>
    <row r="297">
      <c r="L297" s="1"/>
      <c r="M297" s="1"/>
      <c r="N297" s="1"/>
    </row>
    <row r="298">
      <c r="L298" s="1"/>
      <c r="M298" s="1"/>
      <c r="N298" s="1"/>
    </row>
    <row r="299">
      <c r="L299" s="1"/>
      <c r="M299" s="1"/>
      <c r="N299" s="1"/>
    </row>
    <row r="300">
      <c r="L300" s="1"/>
      <c r="M300" s="1"/>
      <c r="N300" s="1"/>
    </row>
    <row r="301">
      <c r="L301" s="1"/>
      <c r="M301" s="1"/>
      <c r="N301" s="1"/>
    </row>
    <row r="302">
      <c r="L302" s="1"/>
      <c r="M302" s="1"/>
      <c r="N302" s="1"/>
    </row>
    <row r="303">
      <c r="L303" s="1"/>
      <c r="M303" s="1"/>
      <c r="N303" s="1"/>
    </row>
    <row r="304">
      <c r="L304" s="1"/>
      <c r="M304" s="1"/>
      <c r="N304" s="1"/>
    </row>
    <row r="305">
      <c r="L305" s="1"/>
      <c r="M305" s="1"/>
      <c r="N305" s="1"/>
    </row>
    <row r="306">
      <c r="L306" s="1"/>
      <c r="M306" s="1"/>
      <c r="N306" s="1"/>
    </row>
    <row r="307">
      <c r="L307" s="1"/>
      <c r="M307" s="1"/>
      <c r="N307" s="1"/>
    </row>
    <row r="308">
      <c r="L308" s="1"/>
      <c r="M308" s="1"/>
      <c r="N308" s="1"/>
    </row>
    <row r="309">
      <c r="L309" s="1"/>
      <c r="M309" s="1"/>
      <c r="N309" s="1"/>
    </row>
    <row r="310">
      <c r="L310" s="1"/>
      <c r="M310" s="1"/>
      <c r="N310" s="1"/>
    </row>
    <row r="311">
      <c r="L311" s="1"/>
      <c r="M311" s="1"/>
      <c r="N311" s="1"/>
    </row>
    <row r="312">
      <c r="L312" s="1"/>
      <c r="M312" s="1"/>
      <c r="N312" s="1"/>
    </row>
    <row r="313">
      <c r="L313" s="1"/>
      <c r="M313" s="1"/>
      <c r="N313" s="1"/>
    </row>
    <row r="314">
      <c r="L314" s="1"/>
      <c r="M314" s="1"/>
      <c r="N314" s="1"/>
    </row>
    <row r="315">
      <c r="L315" s="1"/>
      <c r="M315" s="1"/>
      <c r="N315" s="1"/>
    </row>
    <row r="316">
      <c r="L316" s="1"/>
      <c r="M316" s="1"/>
      <c r="N316" s="1"/>
    </row>
    <row r="317">
      <c r="L317" s="1"/>
      <c r="M317" s="1"/>
      <c r="N317" s="1"/>
    </row>
    <row r="318">
      <c r="L318" s="1"/>
      <c r="M318" s="1"/>
      <c r="N318" s="1"/>
    </row>
    <row r="319">
      <c r="L319" s="1"/>
      <c r="M319" s="1"/>
      <c r="N319" s="1"/>
    </row>
    <row r="320">
      <c r="L320" s="1"/>
      <c r="M320" s="1"/>
      <c r="N320" s="1"/>
    </row>
    <row r="321">
      <c r="L321" s="1"/>
      <c r="M321" s="1"/>
      <c r="N321" s="1"/>
    </row>
    <row r="322">
      <c r="L322" s="1"/>
      <c r="M322" s="1"/>
      <c r="N322" s="1"/>
    </row>
    <row r="323">
      <c r="L323" s="1"/>
      <c r="M323" s="1"/>
      <c r="N323" s="1"/>
    </row>
    <row r="324">
      <c r="L324" s="1"/>
      <c r="M324" s="1"/>
      <c r="N324" s="1"/>
    </row>
    <row r="325">
      <c r="L325" s="1"/>
      <c r="M325" s="1"/>
      <c r="N325" s="1"/>
    </row>
    <row r="326">
      <c r="L326" s="1"/>
      <c r="M326" s="1"/>
      <c r="N326" s="1"/>
    </row>
    <row r="327">
      <c r="L327" s="1"/>
      <c r="M327" s="1"/>
      <c r="N327" s="1"/>
    </row>
    <row r="328">
      <c r="L328" s="1"/>
      <c r="M328" s="1"/>
      <c r="N328" s="1"/>
    </row>
    <row r="329">
      <c r="L329" s="1"/>
      <c r="M329" s="1"/>
      <c r="N329" s="1"/>
    </row>
    <row r="330">
      <c r="L330" s="1"/>
      <c r="M330" s="1"/>
      <c r="N330" s="1"/>
    </row>
    <row r="331">
      <c r="L331" s="1"/>
      <c r="M331" s="1"/>
      <c r="N331" s="1"/>
    </row>
    <row r="332">
      <c r="L332" s="1"/>
      <c r="M332" s="1"/>
      <c r="N332" s="1"/>
    </row>
    <row r="333">
      <c r="L333" s="1"/>
      <c r="M333" s="1"/>
      <c r="N333" s="1"/>
    </row>
    <row r="334">
      <c r="L334" s="1"/>
      <c r="M334" s="1"/>
      <c r="N334" s="1"/>
    </row>
    <row r="335">
      <c r="L335" s="1"/>
      <c r="M335" s="1"/>
      <c r="N335" s="1"/>
    </row>
    <row r="336">
      <c r="L336" s="1"/>
      <c r="M336" s="1"/>
      <c r="N336" s="1"/>
    </row>
    <row r="337">
      <c r="L337" s="1"/>
      <c r="M337" s="1"/>
      <c r="N337" s="1"/>
    </row>
    <row r="338">
      <c r="L338" s="1"/>
      <c r="M338" s="1"/>
      <c r="N338" s="1"/>
    </row>
    <row r="339">
      <c r="L339" s="1"/>
      <c r="M339" s="1"/>
      <c r="N339" s="1"/>
    </row>
    <row r="340">
      <c r="L340" s="1"/>
      <c r="M340" s="1"/>
      <c r="N340" s="1"/>
    </row>
    <row r="341">
      <c r="L341" s="1"/>
      <c r="M341" s="1"/>
      <c r="N341" s="1"/>
    </row>
    <row r="342">
      <c r="L342" s="1"/>
      <c r="M342" s="1"/>
      <c r="N342" s="1"/>
    </row>
    <row r="343">
      <c r="L343" s="1"/>
      <c r="M343" s="1"/>
      <c r="N343" s="1"/>
    </row>
    <row r="344">
      <c r="L344" s="1"/>
      <c r="M344" s="1"/>
      <c r="N344" s="1"/>
    </row>
    <row r="345">
      <c r="L345" s="1"/>
      <c r="M345" s="1"/>
      <c r="N345" s="1"/>
    </row>
    <row r="346">
      <c r="L346" s="1"/>
      <c r="M346" s="1"/>
      <c r="N346" s="1"/>
    </row>
    <row r="347">
      <c r="L347" s="1"/>
      <c r="M347" s="1"/>
      <c r="N347" s="1"/>
    </row>
    <row r="348">
      <c r="L348" s="1"/>
      <c r="M348" s="1"/>
      <c r="N348" s="1"/>
    </row>
    <row r="349">
      <c r="L349" s="1"/>
      <c r="M349" s="1"/>
      <c r="N349" s="1"/>
    </row>
    <row r="350">
      <c r="L350" s="1"/>
      <c r="M350" s="1"/>
      <c r="N350" s="1"/>
    </row>
    <row r="351">
      <c r="L351" s="1"/>
      <c r="M351" s="1"/>
      <c r="N351" s="1"/>
    </row>
    <row r="352">
      <c r="L352" s="1"/>
      <c r="M352" s="1"/>
      <c r="N352" s="1"/>
    </row>
    <row r="353">
      <c r="L353" s="1"/>
      <c r="M353" s="1"/>
      <c r="N353" s="1"/>
    </row>
    <row r="354">
      <c r="L354" s="1"/>
      <c r="M354" s="1"/>
      <c r="N354" s="1"/>
    </row>
    <row r="355">
      <c r="L355" s="1"/>
      <c r="M355" s="1"/>
      <c r="N355" s="1"/>
    </row>
    <row r="356">
      <c r="L356" s="1"/>
      <c r="M356" s="1"/>
      <c r="N356" s="1"/>
    </row>
    <row r="357">
      <c r="L357" s="1"/>
      <c r="M357" s="1"/>
      <c r="N357" s="1"/>
    </row>
    <row r="358">
      <c r="L358" s="1"/>
      <c r="M358" s="1"/>
      <c r="N358" s="1"/>
    </row>
    <row r="359">
      <c r="L359" s="1"/>
      <c r="M359" s="1"/>
      <c r="N359" s="1"/>
    </row>
    <row r="360">
      <c r="L360" s="1"/>
      <c r="M360" s="1"/>
      <c r="N360" s="1"/>
    </row>
    <row r="361">
      <c r="L361" s="1"/>
      <c r="M361" s="1"/>
      <c r="N361" s="1"/>
    </row>
    <row r="362">
      <c r="L362" s="1"/>
      <c r="M362" s="1"/>
      <c r="N362" s="1"/>
    </row>
    <row r="363">
      <c r="L363" s="1"/>
      <c r="M363" s="1"/>
      <c r="N363" s="1"/>
    </row>
    <row r="364">
      <c r="L364" s="1"/>
      <c r="M364" s="1"/>
      <c r="N364" s="1"/>
    </row>
    <row r="365">
      <c r="L365" s="1"/>
      <c r="M365" s="1"/>
      <c r="N365" s="1"/>
    </row>
    <row r="366">
      <c r="L366" s="1"/>
      <c r="M366" s="1"/>
      <c r="N366" s="1"/>
    </row>
    <row r="367">
      <c r="L367" s="1"/>
      <c r="M367" s="1"/>
      <c r="N367" s="1"/>
    </row>
    <row r="368">
      <c r="L368" s="1"/>
      <c r="M368" s="1"/>
      <c r="N368" s="1"/>
    </row>
    <row r="369">
      <c r="L369" s="1"/>
      <c r="M369" s="1"/>
      <c r="N369" s="1"/>
    </row>
    <row r="370">
      <c r="L370" s="1"/>
      <c r="M370" s="1"/>
      <c r="N370" s="1"/>
    </row>
    <row r="371">
      <c r="L371" s="1"/>
      <c r="M371" s="1"/>
      <c r="N371" s="1"/>
    </row>
    <row r="372">
      <c r="L372" s="1"/>
      <c r="M372" s="1"/>
      <c r="N372" s="1"/>
    </row>
    <row r="373">
      <c r="L373" s="1"/>
      <c r="M373" s="1"/>
      <c r="N373" s="1"/>
    </row>
    <row r="374">
      <c r="L374" s="1"/>
      <c r="M374" s="1"/>
      <c r="N374" s="1"/>
    </row>
    <row r="375">
      <c r="L375" s="1"/>
      <c r="M375" s="1"/>
      <c r="N375" s="1"/>
    </row>
    <row r="376">
      <c r="L376" s="1"/>
      <c r="M376" s="1"/>
      <c r="N376" s="1"/>
    </row>
    <row r="377">
      <c r="L377" s="1"/>
      <c r="M377" s="1"/>
      <c r="N377" s="1"/>
    </row>
    <row r="378">
      <c r="L378" s="1"/>
      <c r="M378" s="1"/>
      <c r="N378" s="1"/>
    </row>
    <row r="379">
      <c r="L379" s="1"/>
      <c r="M379" s="1"/>
      <c r="N379" s="1"/>
    </row>
    <row r="380">
      <c r="L380" s="1"/>
      <c r="M380" s="1"/>
      <c r="N380" s="1"/>
    </row>
    <row r="381">
      <c r="L381" s="1"/>
      <c r="M381" s="1"/>
      <c r="N381" s="1"/>
    </row>
    <row r="382">
      <c r="L382" s="1"/>
      <c r="M382" s="1"/>
      <c r="N382" s="1"/>
    </row>
    <row r="383">
      <c r="L383" s="1"/>
      <c r="M383" s="1"/>
      <c r="N383" s="1"/>
    </row>
    <row r="384">
      <c r="L384" s="1"/>
      <c r="M384" s="1"/>
      <c r="N384" s="1"/>
    </row>
    <row r="385">
      <c r="L385" s="1"/>
      <c r="M385" s="1"/>
      <c r="N385" s="1"/>
    </row>
    <row r="386">
      <c r="L386" s="1"/>
      <c r="M386" s="1"/>
      <c r="N386" s="1"/>
    </row>
    <row r="387">
      <c r="L387" s="1"/>
      <c r="M387" s="1"/>
      <c r="N387" s="1"/>
    </row>
    <row r="388">
      <c r="L388" s="1"/>
      <c r="M388" s="1"/>
      <c r="N388" s="1"/>
    </row>
    <row r="389">
      <c r="L389" s="1"/>
      <c r="M389" s="1"/>
      <c r="N389" s="1"/>
    </row>
    <row r="390">
      <c r="L390" s="1"/>
      <c r="M390" s="1"/>
      <c r="N390" s="1"/>
    </row>
    <row r="391">
      <c r="L391" s="1"/>
      <c r="M391" s="1"/>
      <c r="N391" s="1"/>
    </row>
    <row r="392">
      <c r="L392" s="1"/>
      <c r="M392" s="1"/>
      <c r="N392" s="1"/>
    </row>
    <row r="393">
      <c r="L393" s="1"/>
      <c r="M393" s="1"/>
      <c r="N393" s="1"/>
    </row>
    <row r="394">
      <c r="L394" s="1"/>
      <c r="M394" s="1"/>
      <c r="N394" s="1"/>
    </row>
    <row r="395">
      <c r="L395" s="1"/>
      <c r="M395" s="1"/>
      <c r="N395" s="1"/>
    </row>
    <row r="396">
      <c r="L396" s="1"/>
      <c r="M396" s="1"/>
      <c r="N396" s="1"/>
    </row>
    <row r="397">
      <c r="L397" s="1"/>
      <c r="M397" s="1"/>
      <c r="N397" s="1"/>
    </row>
    <row r="398">
      <c r="L398" s="1"/>
      <c r="M398" s="1"/>
      <c r="N398" s="1"/>
    </row>
    <row r="399">
      <c r="L399" s="1"/>
      <c r="M399" s="1"/>
      <c r="N399" s="1"/>
    </row>
    <row r="400">
      <c r="L400" s="1"/>
      <c r="M400" s="1"/>
      <c r="N400" s="1"/>
    </row>
    <row r="401">
      <c r="L401" s="1"/>
      <c r="M401" s="1"/>
      <c r="N401" s="1"/>
    </row>
    <row r="402">
      <c r="L402" s="1"/>
      <c r="M402" s="1"/>
      <c r="N402" s="1"/>
    </row>
    <row r="403">
      <c r="L403" s="1"/>
      <c r="M403" s="1"/>
      <c r="N403" s="1"/>
    </row>
    <row r="404">
      <c r="L404" s="1"/>
      <c r="M404" s="1"/>
      <c r="N404" s="1"/>
    </row>
    <row r="405">
      <c r="L405" s="1"/>
      <c r="M405" s="1"/>
      <c r="N405" s="1"/>
    </row>
    <row r="406">
      <c r="L406" s="1"/>
      <c r="M406" s="1"/>
      <c r="N406" s="1"/>
    </row>
    <row r="407">
      <c r="L407" s="1"/>
      <c r="M407" s="1"/>
      <c r="N407" s="1"/>
    </row>
    <row r="408">
      <c r="L408" s="1"/>
      <c r="M408" s="1"/>
      <c r="N408" s="1"/>
    </row>
    <row r="409">
      <c r="L409" s="1"/>
      <c r="M409" s="1"/>
      <c r="N409" s="1"/>
    </row>
    <row r="410">
      <c r="L410" s="1"/>
      <c r="M410" s="1"/>
      <c r="N410" s="1"/>
    </row>
    <row r="411">
      <c r="L411" s="1"/>
      <c r="M411" s="1"/>
      <c r="N411" s="1"/>
    </row>
    <row r="412">
      <c r="L412" s="1"/>
      <c r="M412" s="1"/>
      <c r="N412" s="1"/>
    </row>
    <row r="413">
      <c r="L413" s="1"/>
      <c r="M413" s="1"/>
      <c r="N413" s="1"/>
    </row>
    <row r="414">
      <c r="L414" s="1"/>
      <c r="M414" s="1"/>
      <c r="N414" s="1"/>
    </row>
    <row r="415">
      <c r="L415" s="1"/>
      <c r="M415" s="1"/>
      <c r="N415" s="1"/>
    </row>
    <row r="416">
      <c r="L416" s="1"/>
      <c r="M416" s="1"/>
      <c r="N416" s="1"/>
    </row>
    <row r="417">
      <c r="L417" s="1"/>
      <c r="M417" s="1"/>
      <c r="N417" s="1"/>
    </row>
    <row r="418">
      <c r="L418" s="1"/>
      <c r="M418" s="1"/>
      <c r="N418" s="1"/>
    </row>
    <row r="419">
      <c r="L419" s="1"/>
      <c r="M419" s="1"/>
      <c r="N419" s="1"/>
    </row>
    <row r="420">
      <c r="L420" s="1"/>
      <c r="M420" s="1"/>
      <c r="N420" s="1"/>
    </row>
    <row r="421">
      <c r="L421" s="1"/>
      <c r="M421" s="1"/>
      <c r="N421" s="1"/>
    </row>
    <row r="422">
      <c r="L422" s="1"/>
      <c r="M422" s="1"/>
      <c r="N422" s="1"/>
    </row>
    <row r="423">
      <c r="L423" s="1"/>
      <c r="M423" s="1"/>
      <c r="N423" s="1"/>
    </row>
    <row r="424">
      <c r="L424" s="1"/>
      <c r="M424" s="1"/>
      <c r="N424" s="1"/>
    </row>
    <row r="425">
      <c r="L425" s="1"/>
      <c r="M425" s="1"/>
      <c r="N425" s="1"/>
    </row>
    <row r="426">
      <c r="L426" s="1"/>
      <c r="M426" s="1"/>
      <c r="N426" s="1"/>
    </row>
    <row r="427">
      <c r="L427" s="1"/>
      <c r="M427" s="1"/>
      <c r="N427" s="1"/>
    </row>
    <row r="428">
      <c r="L428" s="1"/>
      <c r="M428" s="1"/>
      <c r="N428" s="1"/>
    </row>
    <row r="429">
      <c r="L429" s="1"/>
      <c r="M429" s="1"/>
      <c r="N429" s="1"/>
    </row>
    <row r="430">
      <c r="L430" s="1"/>
      <c r="M430" s="1"/>
      <c r="N430" s="1"/>
    </row>
    <row r="431">
      <c r="L431" s="1"/>
      <c r="M431" s="1"/>
      <c r="N431" s="1"/>
    </row>
    <row r="432">
      <c r="L432" s="1"/>
      <c r="M432" s="1"/>
      <c r="N432" s="1"/>
    </row>
    <row r="433">
      <c r="L433" s="1"/>
      <c r="M433" s="1"/>
      <c r="N433" s="1"/>
    </row>
    <row r="434">
      <c r="L434" s="1"/>
      <c r="M434" s="1"/>
      <c r="N434" s="1"/>
    </row>
    <row r="435">
      <c r="L435" s="1"/>
      <c r="M435" s="1"/>
      <c r="N435" s="1"/>
    </row>
    <row r="436">
      <c r="L436" s="1"/>
      <c r="M436" s="1"/>
      <c r="N436" s="1"/>
    </row>
    <row r="437">
      <c r="L437" s="1"/>
      <c r="M437" s="1"/>
      <c r="N437" s="1"/>
    </row>
    <row r="438">
      <c r="L438" s="1"/>
      <c r="M438" s="1"/>
      <c r="N438" s="1"/>
    </row>
    <row r="439">
      <c r="L439" s="1"/>
      <c r="M439" s="1"/>
      <c r="N439" s="1"/>
    </row>
    <row r="440">
      <c r="L440" s="1"/>
      <c r="M440" s="1"/>
      <c r="N440" s="1"/>
    </row>
    <row r="441">
      <c r="L441" s="1"/>
      <c r="M441" s="1"/>
      <c r="N441" s="1"/>
    </row>
    <row r="442">
      <c r="L442" s="1"/>
      <c r="M442" s="1"/>
      <c r="N442" s="1"/>
    </row>
    <row r="443">
      <c r="L443" s="1"/>
      <c r="M443" s="1"/>
      <c r="N443" s="1"/>
    </row>
    <row r="444">
      <c r="L444" s="1"/>
      <c r="M444" s="1"/>
      <c r="N444" s="1"/>
    </row>
    <row r="445">
      <c r="L445" s="1"/>
      <c r="M445" s="1"/>
      <c r="N445" s="1"/>
    </row>
    <row r="446">
      <c r="L446" s="1"/>
      <c r="M446" s="1"/>
      <c r="N446" s="1"/>
    </row>
    <row r="447">
      <c r="L447" s="1"/>
      <c r="M447" s="1"/>
      <c r="N447" s="1"/>
    </row>
    <row r="448">
      <c r="L448" s="1"/>
      <c r="M448" s="1"/>
      <c r="N448" s="1"/>
    </row>
    <row r="449">
      <c r="L449" s="1"/>
      <c r="M449" s="1"/>
      <c r="N449" s="1"/>
    </row>
    <row r="450">
      <c r="L450" s="1"/>
      <c r="M450" s="1"/>
      <c r="N450" s="1"/>
    </row>
    <row r="451">
      <c r="L451" s="1"/>
      <c r="M451" s="1"/>
      <c r="N451" s="1"/>
    </row>
    <row r="452">
      <c r="L452" s="1"/>
      <c r="M452" s="1"/>
      <c r="N452" s="1"/>
    </row>
    <row r="453">
      <c r="L453" s="1"/>
      <c r="M453" s="1"/>
      <c r="N453" s="1"/>
    </row>
    <row r="454">
      <c r="L454" s="1"/>
      <c r="M454" s="1"/>
      <c r="N454" s="1"/>
    </row>
    <row r="455">
      <c r="L455" s="1"/>
      <c r="M455" s="1"/>
      <c r="N455" s="1"/>
    </row>
    <row r="456">
      <c r="L456" s="1"/>
      <c r="M456" s="1"/>
      <c r="N456" s="1"/>
    </row>
    <row r="457">
      <c r="L457" s="1"/>
      <c r="M457" s="1"/>
      <c r="N457" s="1"/>
    </row>
    <row r="458">
      <c r="L458" s="1"/>
      <c r="M458" s="1"/>
      <c r="N458" s="1"/>
    </row>
    <row r="459">
      <c r="L459" s="1"/>
      <c r="M459" s="1"/>
      <c r="N459" s="1"/>
    </row>
    <row r="460">
      <c r="L460" s="1"/>
      <c r="M460" s="1"/>
      <c r="N460" s="1"/>
    </row>
    <row r="461">
      <c r="L461" s="1"/>
      <c r="M461" s="1"/>
      <c r="N461" s="1"/>
    </row>
    <row r="462">
      <c r="L462" s="1"/>
      <c r="M462" s="1"/>
      <c r="N462" s="1"/>
    </row>
    <row r="463">
      <c r="L463" s="1"/>
      <c r="M463" s="1"/>
      <c r="N463" s="1"/>
    </row>
    <row r="464">
      <c r="L464" s="1"/>
      <c r="M464" s="1"/>
      <c r="N464" s="1"/>
    </row>
    <row r="465">
      <c r="L465" s="1"/>
      <c r="M465" s="1"/>
      <c r="N465" s="1"/>
    </row>
    <row r="466">
      <c r="L466" s="1"/>
      <c r="M466" s="1"/>
      <c r="N466" s="1"/>
    </row>
    <row r="467">
      <c r="L467" s="1"/>
      <c r="M467" s="1"/>
      <c r="N467" s="1"/>
    </row>
    <row r="468">
      <c r="L468" s="1"/>
      <c r="M468" s="1"/>
      <c r="N468" s="1"/>
    </row>
    <row r="469">
      <c r="L469" s="1"/>
      <c r="M469" s="1"/>
      <c r="N469" s="1"/>
    </row>
    <row r="470">
      <c r="L470" s="1"/>
      <c r="M470" s="1"/>
      <c r="N470" s="1"/>
    </row>
    <row r="471">
      <c r="L471" s="1"/>
      <c r="M471" s="1"/>
      <c r="N471" s="1"/>
    </row>
    <row r="472">
      <c r="L472" s="1"/>
      <c r="M472" s="1"/>
      <c r="N472" s="1"/>
    </row>
    <row r="473">
      <c r="L473" s="1"/>
      <c r="M473" s="1"/>
      <c r="N473" s="1"/>
    </row>
    <row r="474">
      <c r="L474" s="1"/>
      <c r="M474" s="1"/>
      <c r="N474" s="1"/>
    </row>
    <row r="475">
      <c r="L475" s="1"/>
      <c r="M475" s="1"/>
      <c r="N475" s="1"/>
    </row>
    <row r="476">
      <c r="L476" s="1"/>
      <c r="M476" s="1"/>
      <c r="N476" s="1"/>
    </row>
    <row r="477">
      <c r="L477" s="1"/>
      <c r="M477" s="1"/>
      <c r="N477" s="1"/>
    </row>
    <row r="478">
      <c r="L478" s="1"/>
      <c r="M478" s="1"/>
      <c r="N478" s="1"/>
    </row>
    <row r="479">
      <c r="L479" s="1"/>
      <c r="M479" s="1"/>
      <c r="N479" s="1"/>
    </row>
    <row r="480">
      <c r="L480" s="1"/>
      <c r="M480" s="1"/>
      <c r="N480" s="1"/>
    </row>
    <row r="481">
      <c r="L481" s="1"/>
      <c r="M481" s="1"/>
      <c r="N481" s="1"/>
    </row>
    <row r="482">
      <c r="L482" s="1"/>
      <c r="M482" s="1"/>
      <c r="N482" s="1"/>
    </row>
    <row r="483">
      <c r="L483" s="1"/>
      <c r="M483" s="1"/>
      <c r="N483" s="1"/>
    </row>
    <row r="484">
      <c r="L484" s="1"/>
      <c r="M484" s="1"/>
      <c r="N484" s="1"/>
    </row>
    <row r="485">
      <c r="L485" s="1"/>
      <c r="M485" s="1"/>
      <c r="N485" s="1"/>
    </row>
    <row r="486">
      <c r="L486" s="1"/>
      <c r="M486" s="1"/>
      <c r="N486" s="1"/>
    </row>
    <row r="487">
      <c r="L487" s="1"/>
      <c r="M487" s="1"/>
      <c r="N487" s="1"/>
    </row>
    <row r="488">
      <c r="L488" s="1"/>
      <c r="M488" s="1"/>
      <c r="N488" s="1"/>
    </row>
    <row r="489">
      <c r="L489" s="1"/>
      <c r="M489" s="1"/>
      <c r="N489" s="1"/>
    </row>
    <row r="490">
      <c r="L490" s="1"/>
      <c r="M490" s="1"/>
      <c r="N490" s="1"/>
    </row>
    <row r="491">
      <c r="L491" s="1"/>
      <c r="M491" s="1"/>
      <c r="N491" s="1"/>
    </row>
    <row r="492">
      <c r="L492" s="1"/>
      <c r="M492" s="1"/>
      <c r="N492" s="1"/>
    </row>
    <row r="493">
      <c r="L493" s="1"/>
      <c r="M493" s="1"/>
      <c r="N493" s="1"/>
    </row>
    <row r="494">
      <c r="L494" s="1"/>
      <c r="M494" s="1"/>
      <c r="N494" s="1"/>
    </row>
    <row r="495">
      <c r="L495" s="1"/>
      <c r="M495" s="1"/>
      <c r="N495" s="1"/>
    </row>
    <row r="496">
      <c r="L496" s="1"/>
      <c r="M496" s="1"/>
      <c r="N496" s="1"/>
    </row>
    <row r="497">
      <c r="L497" s="1"/>
      <c r="M497" s="1"/>
      <c r="N497" s="1"/>
    </row>
    <row r="498">
      <c r="L498" s="1"/>
      <c r="M498" s="1"/>
      <c r="N498" s="1"/>
    </row>
    <row r="499">
      <c r="L499" s="1"/>
      <c r="M499" s="1"/>
      <c r="N499" s="1"/>
    </row>
    <row r="500">
      <c r="L500" s="1"/>
      <c r="M500" s="1"/>
      <c r="N500" s="1"/>
    </row>
    <row r="501">
      <c r="L501" s="1"/>
      <c r="M501" s="1"/>
      <c r="N501" s="1"/>
    </row>
    <row r="502">
      <c r="L502" s="1"/>
      <c r="M502" s="1"/>
      <c r="N502" s="1"/>
    </row>
    <row r="503">
      <c r="L503" s="1"/>
      <c r="M503" s="1"/>
      <c r="N503" s="1"/>
    </row>
    <row r="504">
      <c r="L504" s="1"/>
      <c r="M504" s="1"/>
      <c r="N504" s="1"/>
    </row>
    <row r="505">
      <c r="L505" s="1"/>
      <c r="M505" s="1"/>
      <c r="N505" s="1"/>
    </row>
    <row r="506">
      <c r="L506" s="1"/>
      <c r="M506" s="1"/>
      <c r="N506" s="1"/>
    </row>
    <row r="507">
      <c r="L507" s="1"/>
      <c r="M507" s="1"/>
      <c r="N507" s="1"/>
    </row>
    <row r="508">
      <c r="L508" s="1"/>
      <c r="M508" s="1"/>
      <c r="N508" s="1"/>
    </row>
    <row r="509">
      <c r="L509" s="1"/>
      <c r="M509" s="1"/>
      <c r="N509" s="1"/>
    </row>
    <row r="510">
      <c r="L510" s="1"/>
      <c r="M510" s="1"/>
      <c r="N510" s="1"/>
    </row>
    <row r="511">
      <c r="L511" s="1"/>
      <c r="M511" s="1"/>
      <c r="N511" s="1"/>
    </row>
    <row r="512">
      <c r="L512" s="1"/>
      <c r="M512" s="1"/>
      <c r="N512" s="1"/>
    </row>
    <row r="513">
      <c r="L513" s="1"/>
      <c r="M513" s="1"/>
      <c r="N513" s="1"/>
    </row>
    <row r="514">
      <c r="L514" s="1"/>
      <c r="M514" s="1"/>
      <c r="N514" s="1"/>
    </row>
    <row r="515">
      <c r="L515" s="1"/>
      <c r="M515" s="1"/>
      <c r="N515" s="1"/>
    </row>
    <row r="516">
      <c r="L516" s="1"/>
      <c r="M516" s="1"/>
      <c r="N516" s="1"/>
    </row>
    <row r="517">
      <c r="L517" s="1"/>
      <c r="M517" s="1"/>
      <c r="N517" s="1"/>
    </row>
    <row r="518">
      <c r="L518" s="1"/>
      <c r="M518" s="1"/>
      <c r="N518" s="1"/>
    </row>
    <row r="519">
      <c r="L519" s="1"/>
      <c r="M519" s="1"/>
      <c r="N519" s="1"/>
    </row>
    <row r="520">
      <c r="L520" s="1"/>
      <c r="M520" s="1"/>
      <c r="N520" s="1"/>
    </row>
    <row r="521">
      <c r="L521" s="1"/>
      <c r="M521" s="1"/>
      <c r="N521" s="1"/>
    </row>
    <row r="522">
      <c r="L522" s="1"/>
      <c r="M522" s="1"/>
      <c r="N522" s="1"/>
    </row>
    <row r="523">
      <c r="L523" s="1"/>
      <c r="M523" s="1"/>
      <c r="N523" s="1"/>
    </row>
    <row r="524">
      <c r="L524" s="1"/>
      <c r="M524" s="1"/>
      <c r="N524" s="1"/>
    </row>
    <row r="525">
      <c r="L525" s="1"/>
      <c r="M525" s="1"/>
      <c r="N525" s="1"/>
    </row>
    <row r="526">
      <c r="L526" s="1"/>
      <c r="M526" s="1"/>
      <c r="N526" s="1"/>
    </row>
    <row r="527">
      <c r="L527" s="1"/>
      <c r="M527" s="1"/>
      <c r="N527" s="1"/>
    </row>
    <row r="528">
      <c r="L528" s="1"/>
      <c r="M528" s="1"/>
      <c r="N528" s="1"/>
    </row>
    <row r="529">
      <c r="L529" s="1"/>
      <c r="M529" s="1"/>
      <c r="N529" s="1"/>
    </row>
    <row r="530">
      <c r="L530" s="1"/>
      <c r="M530" s="1"/>
      <c r="N530" s="1"/>
    </row>
    <row r="531">
      <c r="L531" s="1"/>
      <c r="M531" s="1"/>
      <c r="N531" s="1"/>
    </row>
    <row r="532">
      <c r="L532" s="1"/>
      <c r="M532" s="1"/>
      <c r="N532" s="1"/>
    </row>
    <row r="533">
      <c r="L533" s="1"/>
      <c r="M533" s="1"/>
      <c r="N533" s="1"/>
    </row>
    <row r="534">
      <c r="L534" s="1"/>
      <c r="M534" s="1"/>
      <c r="N534" s="1"/>
    </row>
    <row r="535">
      <c r="L535" s="1"/>
      <c r="M535" s="1"/>
      <c r="N535" s="1"/>
    </row>
    <row r="536">
      <c r="L536" s="1"/>
      <c r="M536" s="1"/>
      <c r="N536" s="1"/>
    </row>
    <row r="537">
      <c r="L537" s="1"/>
      <c r="M537" s="1"/>
      <c r="N537" s="1"/>
    </row>
    <row r="538">
      <c r="L538" s="1"/>
      <c r="M538" s="1"/>
      <c r="N538" s="1"/>
    </row>
    <row r="539">
      <c r="L539" s="1"/>
      <c r="M539" s="1"/>
      <c r="N539" s="1"/>
    </row>
    <row r="540">
      <c r="L540" s="1"/>
      <c r="M540" s="1"/>
      <c r="N540" s="1"/>
    </row>
    <row r="541">
      <c r="L541" s="1"/>
      <c r="M541" s="1"/>
      <c r="N541" s="1"/>
    </row>
    <row r="542">
      <c r="L542" s="1"/>
      <c r="M542" s="1"/>
      <c r="N542" s="1"/>
    </row>
    <row r="543">
      <c r="L543" s="1"/>
      <c r="M543" s="1"/>
      <c r="N543" s="1"/>
    </row>
    <row r="544">
      <c r="L544" s="1"/>
      <c r="M544" s="1"/>
      <c r="N544" s="1"/>
    </row>
    <row r="545">
      <c r="L545" s="1"/>
      <c r="M545" s="1"/>
      <c r="N545" s="1"/>
    </row>
    <row r="546">
      <c r="L546" s="1"/>
      <c r="M546" s="1"/>
      <c r="N546" s="1"/>
    </row>
    <row r="547">
      <c r="L547" s="1"/>
      <c r="M547" s="1"/>
      <c r="N547" s="1"/>
    </row>
    <row r="548">
      <c r="L548" s="1"/>
      <c r="M548" s="1"/>
      <c r="N548" s="1"/>
    </row>
    <row r="549">
      <c r="L549" s="1"/>
      <c r="M549" s="1"/>
      <c r="N549" s="1"/>
    </row>
    <row r="550">
      <c r="L550" s="1"/>
      <c r="M550" s="1"/>
      <c r="N550" s="1"/>
    </row>
    <row r="551">
      <c r="L551" s="1"/>
      <c r="M551" s="1"/>
      <c r="N551" s="1"/>
    </row>
    <row r="552">
      <c r="L552" s="1"/>
      <c r="M552" s="1"/>
      <c r="N552" s="1"/>
    </row>
    <row r="553">
      <c r="L553" s="1"/>
      <c r="M553" s="1"/>
      <c r="N553" s="1"/>
    </row>
    <row r="554">
      <c r="L554" s="1"/>
      <c r="M554" s="1"/>
      <c r="N554" s="1"/>
    </row>
    <row r="555">
      <c r="L555" s="1"/>
      <c r="M555" s="1"/>
      <c r="N555" s="1"/>
    </row>
    <row r="556">
      <c r="L556" s="1"/>
      <c r="M556" s="1"/>
      <c r="N556" s="1"/>
    </row>
    <row r="557">
      <c r="L557" s="1"/>
      <c r="M557" s="1"/>
      <c r="N557" s="1"/>
    </row>
    <row r="558">
      <c r="L558" s="1"/>
      <c r="M558" s="1"/>
      <c r="N558" s="1"/>
    </row>
    <row r="559">
      <c r="L559" s="1"/>
      <c r="M559" s="1"/>
      <c r="N559" s="1"/>
    </row>
    <row r="560">
      <c r="L560" s="1"/>
      <c r="M560" s="1"/>
      <c r="N560" s="1"/>
    </row>
    <row r="561">
      <c r="L561" s="1"/>
      <c r="M561" s="1"/>
      <c r="N561" s="1"/>
    </row>
    <row r="562">
      <c r="L562" s="1"/>
      <c r="M562" s="1"/>
      <c r="N562" s="1"/>
    </row>
    <row r="563">
      <c r="L563" s="1"/>
      <c r="M563" s="1"/>
      <c r="N563" s="1"/>
    </row>
    <row r="564">
      <c r="L564" s="1"/>
      <c r="M564" s="1"/>
      <c r="N564" s="1"/>
    </row>
    <row r="565">
      <c r="L565" s="1"/>
      <c r="M565" s="1"/>
      <c r="N565" s="1"/>
    </row>
    <row r="566">
      <c r="L566" s="1"/>
      <c r="M566" s="1"/>
      <c r="N566" s="1"/>
    </row>
    <row r="567">
      <c r="L567" s="1"/>
      <c r="M567" s="1"/>
      <c r="N567" s="1"/>
    </row>
    <row r="568">
      <c r="L568" s="1"/>
      <c r="M568" s="1"/>
      <c r="N568" s="1"/>
    </row>
    <row r="569">
      <c r="L569" s="1"/>
      <c r="M569" s="1"/>
      <c r="N569" s="1"/>
    </row>
    <row r="570">
      <c r="L570" s="1"/>
      <c r="M570" s="1"/>
      <c r="N570" s="1"/>
    </row>
    <row r="571">
      <c r="L571" s="1"/>
      <c r="M571" s="1"/>
      <c r="N571" s="1"/>
    </row>
    <row r="572">
      <c r="L572" s="1"/>
      <c r="M572" s="1"/>
      <c r="N572" s="1"/>
    </row>
    <row r="573">
      <c r="L573" s="1"/>
      <c r="M573" s="1"/>
      <c r="N573" s="1"/>
    </row>
    <row r="574">
      <c r="L574" s="1"/>
      <c r="M574" s="1"/>
      <c r="N574" s="1"/>
    </row>
    <row r="575">
      <c r="L575" s="1"/>
      <c r="M575" s="1"/>
      <c r="N575" s="1"/>
    </row>
    <row r="576">
      <c r="L576" s="1"/>
      <c r="M576" s="1"/>
      <c r="N576" s="1"/>
    </row>
    <row r="577">
      <c r="L577" s="1"/>
      <c r="M577" s="1"/>
      <c r="N577" s="1"/>
    </row>
    <row r="578">
      <c r="L578" s="1"/>
      <c r="M578" s="1"/>
      <c r="N578" s="1"/>
    </row>
    <row r="579">
      <c r="L579" s="1"/>
      <c r="M579" s="1"/>
      <c r="N579" s="1"/>
    </row>
    <row r="580">
      <c r="L580" s="1"/>
      <c r="M580" s="1"/>
      <c r="N580" s="1"/>
    </row>
    <row r="581">
      <c r="L581" s="1"/>
      <c r="M581" s="1"/>
      <c r="N581" s="1"/>
    </row>
    <row r="582">
      <c r="L582" s="1"/>
      <c r="M582" s="1"/>
      <c r="N582" s="1"/>
    </row>
    <row r="583">
      <c r="L583" s="1"/>
      <c r="M583" s="1"/>
      <c r="N583" s="1"/>
    </row>
    <row r="584">
      <c r="L584" s="1"/>
      <c r="M584" s="1"/>
      <c r="N584" s="1"/>
    </row>
    <row r="585">
      <c r="L585" s="1"/>
      <c r="M585" s="1"/>
      <c r="N585" s="1"/>
    </row>
    <row r="586">
      <c r="L586" s="1"/>
      <c r="M586" s="1"/>
      <c r="N586" s="1"/>
    </row>
    <row r="587">
      <c r="L587" s="1"/>
      <c r="M587" s="1"/>
      <c r="N587" s="1"/>
    </row>
    <row r="588">
      <c r="L588" s="1"/>
      <c r="M588" s="1"/>
      <c r="N588" s="1"/>
    </row>
    <row r="589">
      <c r="L589" s="1"/>
      <c r="M589" s="1"/>
      <c r="N589" s="1"/>
    </row>
    <row r="590">
      <c r="L590" s="1"/>
      <c r="M590" s="1"/>
      <c r="N590" s="1"/>
    </row>
    <row r="591">
      <c r="L591" s="1"/>
      <c r="M591" s="1"/>
      <c r="N591" s="1"/>
    </row>
    <row r="592">
      <c r="L592" s="1"/>
      <c r="M592" s="1"/>
      <c r="N592" s="1"/>
    </row>
    <row r="593">
      <c r="L593" s="1"/>
      <c r="M593" s="1"/>
      <c r="N593" s="1"/>
    </row>
    <row r="594">
      <c r="L594" s="1"/>
      <c r="M594" s="1"/>
      <c r="N594" s="1"/>
    </row>
    <row r="595">
      <c r="L595" s="1"/>
      <c r="M595" s="1"/>
      <c r="N595" s="1"/>
    </row>
    <row r="596">
      <c r="L596" s="1"/>
      <c r="M596" s="1"/>
      <c r="N596" s="1"/>
    </row>
    <row r="597">
      <c r="L597" s="1"/>
      <c r="M597" s="1"/>
      <c r="N597" s="1"/>
    </row>
    <row r="598">
      <c r="L598" s="1"/>
      <c r="M598" s="1"/>
      <c r="N598" s="1"/>
    </row>
    <row r="599">
      <c r="L599" s="1"/>
      <c r="M599" s="1"/>
      <c r="N599" s="1"/>
    </row>
    <row r="600">
      <c r="L600" s="1"/>
      <c r="M600" s="1"/>
      <c r="N600" s="1"/>
    </row>
    <row r="601">
      <c r="L601" s="1"/>
      <c r="M601" s="1"/>
      <c r="N601" s="1"/>
    </row>
    <row r="602">
      <c r="L602" s="1"/>
      <c r="M602" s="1"/>
      <c r="N602" s="1"/>
    </row>
    <row r="603">
      <c r="L603" s="1"/>
      <c r="M603" s="1"/>
      <c r="N603" s="1"/>
    </row>
    <row r="604">
      <c r="L604" s="1"/>
      <c r="M604" s="1"/>
      <c r="N604" s="1"/>
    </row>
    <row r="605">
      <c r="L605" s="1"/>
      <c r="M605" s="1"/>
      <c r="N605" s="1"/>
    </row>
    <row r="606">
      <c r="L606" s="1"/>
      <c r="M606" s="1"/>
      <c r="N606" s="1"/>
    </row>
    <row r="607">
      <c r="L607" s="1"/>
      <c r="M607" s="1"/>
      <c r="N607" s="1"/>
    </row>
    <row r="608">
      <c r="L608" s="1"/>
      <c r="M608" s="1"/>
      <c r="N608" s="1"/>
    </row>
    <row r="609">
      <c r="L609" s="1"/>
      <c r="M609" s="1"/>
      <c r="N609" s="1"/>
    </row>
    <row r="610">
      <c r="L610" s="1"/>
      <c r="M610" s="1"/>
      <c r="N610" s="1"/>
    </row>
    <row r="611">
      <c r="L611" s="1"/>
      <c r="M611" s="1"/>
      <c r="N611" s="1"/>
    </row>
    <row r="612">
      <c r="L612" s="1"/>
      <c r="M612" s="1"/>
      <c r="N612" s="1"/>
    </row>
    <row r="613">
      <c r="L613" s="1"/>
      <c r="M613" s="1"/>
      <c r="N613" s="1"/>
    </row>
    <row r="614">
      <c r="L614" s="1"/>
      <c r="M614" s="1"/>
      <c r="N614" s="1"/>
    </row>
    <row r="615">
      <c r="L615" s="1"/>
      <c r="M615" s="1"/>
      <c r="N615" s="1"/>
    </row>
    <row r="616">
      <c r="L616" s="1"/>
      <c r="M616" s="1"/>
      <c r="N616" s="1"/>
    </row>
    <row r="617">
      <c r="L617" s="1"/>
      <c r="M617" s="1"/>
      <c r="N617" s="1"/>
    </row>
    <row r="618">
      <c r="L618" s="1"/>
      <c r="M618" s="1"/>
      <c r="N618" s="1"/>
    </row>
    <row r="619">
      <c r="L619" s="1"/>
      <c r="M619" s="1"/>
      <c r="N619" s="1"/>
    </row>
    <row r="620">
      <c r="L620" s="1"/>
      <c r="M620" s="1"/>
      <c r="N620" s="1"/>
    </row>
    <row r="621">
      <c r="L621" s="1"/>
      <c r="M621" s="1"/>
      <c r="N621" s="1"/>
    </row>
    <row r="622">
      <c r="L622" s="1"/>
      <c r="M622" s="1"/>
      <c r="N622" s="1"/>
    </row>
    <row r="623">
      <c r="L623" s="1"/>
      <c r="M623" s="1"/>
      <c r="N623" s="1"/>
    </row>
    <row r="624">
      <c r="L624" s="1"/>
      <c r="M624" s="1"/>
      <c r="N624" s="1"/>
    </row>
    <row r="625">
      <c r="L625" s="1"/>
      <c r="M625" s="1"/>
      <c r="N625" s="1"/>
    </row>
    <row r="626">
      <c r="L626" s="1"/>
      <c r="M626" s="1"/>
      <c r="N626" s="1"/>
    </row>
    <row r="627">
      <c r="L627" s="1"/>
      <c r="M627" s="1"/>
      <c r="N627" s="1"/>
    </row>
    <row r="628">
      <c r="L628" s="1"/>
      <c r="M628" s="1"/>
      <c r="N628" s="1"/>
    </row>
    <row r="629">
      <c r="L629" s="1"/>
      <c r="M629" s="1"/>
      <c r="N629" s="1"/>
    </row>
    <row r="630">
      <c r="L630" s="1"/>
      <c r="M630" s="1"/>
      <c r="N630" s="1"/>
    </row>
    <row r="631">
      <c r="L631" s="1"/>
      <c r="M631" s="1"/>
      <c r="N631" s="1"/>
    </row>
    <row r="632">
      <c r="L632" s="1"/>
      <c r="M632" s="1"/>
      <c r="N632" s="1"/>
    </row>
    <row r="633">
      <c r="L633" s="1"/>
      <c r="M633" s="1"/>
      <c r="N633" s="1"/>
    </row>
    <row r="634">
      <c r="L634" s="1"/>
      <c r="M634" s="1"/>
      <c r="N634" s="1"/>
    </row>
    <row r="635">
      <c r="L635" s="1"/>
      <c r="M635" s="1"/>
      <c r="N635" s="1"/>
    </row>
    <row r="636">
      <c r="L636" s="1"/>
      <c r="M636" s="1"/>
      <c r="N636" s="1"/>
    </row>
    <row r="637">
      <c r="L637" s="1"/>
      <c r="M637" s="1"/>
      <c r="N637" s="1"/>
    </row>
    <row r="638">
      <c r="L638" s="1"/>
      <c r="M638" s="1"/>
      <c r="N638" s="1"/>
    </row>
    <row r="639">
      <c r="L639" s="1"/>
      <c r="M639" s="1"/>
      <c r="N639" s="1"/>
    </row>
    <row r="640">
      <c r="L640" s="1"/>
      <c r="M640" s="1"/>
      <c r="N640" s="1"/>
    </row>
    <row r="641">
      <c r="L641" s="1"/>
      <c r="M641" s="1"/>
      <c r="N641" s="1"/>
    </row>
    <row r="642">
      <c r="L642" s="1"/>
      <c r="M642" s="1"/>
      <c r="N642" s="1"/>
    </row>
    <row r="643">
      <c r="L643" s="1"/>
      <c r="M643" s="1"/>
      <c r="N643" s="1"/>
    </row>
    <row r="644">
      <c r="L644" s="1"/>
      <c r="M644" s="1"/>
      <c r="N644" s="1"/>
    </row>
    <row r="645">
      <c r="L645" s="1"/>
      <c r="M645" s="1"/>
      <c r="N645" s="1"/>
    </row>
    <row r="646">
      <c r="L646" s="1"/>
      <c r="M646" s="1"/>
      <c r="N646" s="1"/>
    </row>
    <row r="647">
      <c r="L647" s="1"/>
      <c r="M647" s="1"/>
      <c r="N647" s="1"/>
    </row>
    <row r="648">
      <c r="L648" s="1"/>
      <c r="M648" s="1"/>
      <c r="N648" s="1"/>
    </row>
    <row r="649">
      <c r="L649" s="1"/>
      <c r="M649" s="1"/>
      <c r="N649" s="1"/>
    </row>
    <row r="650">
      <c r="L650" s="1"/>
      <c r="M650" s="1"/>
      <c r="N650" s="1"/>
    </row>
    <row r="651">
      <c r="L651" s="1"/>
      <c r="M651" s="1"/>
      <c r="N651" s="1"/>
    </row>
    <row r="652">
      <c r="L652" s="1"/>
      <c r="M652" s="1"/>
      <c r="N652" s="1"/>
    </row>
    <row r="653">
      <c r="L653" s="1"/>
      <c r="M653" s="1"/>
      <c r="N653" s="1"/>
    </row>
    <row r="654">
      <c r="L654" s="1"/>
      <c r="M654" s="1"/>
      <c r="N654" s="1"/>
    </row>
    <row r="655">
      <c r="L655" s="1"/>
      <c r="M655" s="1"/>
      <c r="N655" s="1"/>
    </row>
    <row r="656">
      <c r="L656" s="1"/>
      <c r="M656" s="1"/>
      <c r="N656" s="1"/>
    </row>
    <row r="657">
      <c r="L657" s="1"/>
      <c r="M657" s="1"/>
      <c r="N657" s="1"/>
    </row>
    <row r="658">
      <c r="L658" s="1"/>
      <c r="M658" s="1"/>
      <c r="N658" s="1"/>
    </row>
    <row r="659">
      <c r="L659" s="1"/>
      <c r="M659" s="1"/>
      <c r="N659" s="1"/>
    </row>
    <row r="660">
      <c r="L660" s="1"/>
      <c r="M660" s="1"/>
      <c r="N660" s="1"/>
    </row>
    <row r="661">
      <c r="L661" s="1"/>
      <c r="M661" s="1"/>
      <c r="N661" s="1"/>
    </row>
    <row r="662">
      <c r="L662" s="1"/>
      <c r="M662" s="1"/>
      <c r="N662" s="1"/>
    </row>
    <row r="663">
      <c r="L663" s="1"/>
      <c r="M663" s="1"/>
      <c r="N663" s="1"/>
    </row>
    <row r="664">
      <c r="L664" s="1"/>
      <c r="M664" s="1"/>
      <c r="N664" s="1"/>
    </row>
    <row r="665">
      <c r="L665" s="1"/>
      <c r="M665" s="1"/>
      <c r="N665" s="1"/>
    </row>
    <row r="666">
      <c r="L666" s="1"/>
      <c r="M666" s="1"/>
      <c r="N666" s="1"/>
    </row>
    <row r="667">
      <c r="L667" s="1"/>
      <c r="M667" s="1"/>
      <c r="N667" s="1"/>
    </row>
    <row r="668">
      <c r="L668" s="1"/>
      <c r="M668" s="1"/>
      <c r="N668" s="1"/>
    </row>
    <row r="669">
      <c r="L669" s="1"/>
      <c r="M669" s="1"/>
      <c r="N669" s="1"/>
    </row>
    <row r="670">
      <c r="L670" s="1"/>
      <c r="M670" s="1"/>
      <c r="N670" s="1"/>
    </row>
    <row r="671">
      <c r="L671" s="1"/>
      <c r="M671" s="1"/>
      <c r="N671" s="1"/>
    </row>
    <row r="672">
      <c r="L672" s="1"/>
      <c r="M672" s="1"/>
      <c r="N672" s="1"/>
    </row>
    <row r="673">
      <c r="L673" s="1"/>
      <c r="M673" s="1"/>
      <c r="N673" s="1"/>
    </row>
    <row r="674">
      <c r="L674" s="1"/>
      <c r="M674" s="1"/>
      <c r="N674" s="1"/>
    </row>
    <row r="675">
      <c r="L675" s="1"/>
      <c r="M675" s="1"/>
      <c r="N675" s="1"/>
    </row>
    <row r="676">
      <c r="L676" s="1"/>
      <c r="M676" s="1"/>
      <c r="N676" s="1"/>
    </row>
    <row r="677">
      <c r="L677" s="1"/>
      <c r="M677" s="1"/>
      <c r="N677" s="1"/>
    </row>
    <row r="678">
      <c r="L678" s="1"/>
      <c r="M678" s="1"/>
      <c r="N678" s="1"/>
    </row>
    <row r="679">
      <c r="L679" s="1"/>
      <c r="M679" s="1"/>
      <c r="N679" s="1"/>
    </row>
    <row r="680">
      <c r="L680" s="1"/>
      <c r="M680" s="1"/>
      <c r="N680" s="1"/>
    </row>
    <row r="681">
      <c r="L681" s="1"/>
      <c r="M681" s="1"/>
      <c r="N681" s="1"/>
    </row>
    <row r="682">
      <c r="L682" s="1"/>
      <c r="M682" s="1"/>
      <c r="N682" s="1"/>
    </row>
    <row r="683">
      <c r="L683" s="1"/>
      <c r="M683" s="1"/>
      <c r="N683" s="1"/>
    </row>
    <row r="684">
      <c r="L684" s="1"/>
      <c r="M684" s="1"/>
      <c r="N684" s="1"/>
    </row>
    <row r="685">
      <c r="L685" s="1"/>
      <c r="M685" s="1"/>
      <c r="N685" s="1"/>
    </row>
    <row r="686">
      <c r="L686" s="1"/>
      <c r="M686" s="1"/>
      <c r="N686" s="1"/>
    </row>
    <row r="687">
      <c r="L687" s="1"/>
      <c r="M687" s="1"/>
      <c r="N687" s="1"/>
    </row>
    <row r="688">
      <c r="L688" s="1"/>
      <c r="M688" s="1"/>
      <c r="N688" s="1"/>
    </row>
    <row r="689">
      <c r="L689" s="1"/>
      <c r="M689" s="1"/>
      <c r="N689" s="1"/>
    </row>
    <row r="690">
      <c r="L690" s="1"/>
      <c r="M690" s="1"/>
      <c r="N690" s="1"/>
    </row>
    <row r="691">
      <c r="L691" s="1"/>
      <c r="M691" s="1"/>
      <c r="N691" s="1"/>
    </row>
    <row r="692">
      <c r="L692" s="1"/>
      <c r="M692" s="1"/>
      <c r="N692" s="1"/>
    </row>
    <row r="693">
      <c r="L693" s="1"/>
      <c r="M693" s="1"/>
      <c r="N693" s="1"/>
    </row>
    <row r="694">
      <c r="L694" s="1"/>
      <c r="M694" s="1"/>
      <c r="N694" s="1"/>
    </row>
    <row r="695">
      <c r="L695" s="1"/>
      <c r="M695" s="1"/>
      <c r="N695" s="1"/>
    </row>
    <row r="696">
      <c r="L696" s="1"/>
      <c r="M696" s="1"/>
      <c r="N696" s="1"/>
    </row>
    <row r="697">
      <c r="L697" s="1"/>
      <c r="M697" s="1"/>
      <c r="N697" s="1"/>
    </row>
    <row r="698">
      <c r="L698" s="1"/>
      <c r="M698" s="1"/>
      <c r="N698" s="1"/>
    </row>
    <row r="699">
      <c r="L699" s="1"/>
      <c r="M699" s="1"/>
      <c r="N699" s="1"/>
    </row>
    <row r="700">
      <c r="L700" s="1"/>
      <c r="M700" s="1"/>
      <c r="N700" s="1"/>
    </row>
    <row r="701">
      <c r="L701" s="1"/>
      <c r="M701" s="1"/>
      <c r="N701" s="1"/>
    </row>
    <row r="702">
      <c r="L702" s="1"/>
      <c r="M702" s="1"/>
      <c r="N702" s="1"/>
    </row>
    <row r="703">
      <c r="L703" s="1"/>
      <c r="M703" s="1"/>
      <c r="N703" s="1"/>
    </row>
    <row r="704">
      <c r="L704" s="1"/>
      <c r="M704" s="1"/>
      <c r="N704" s="1"/>
    </row>
    <row r="705">
      <c r="L705" s="1"/>
      <c r="M705" s="1"/>
      <c r="N705" s="1"/>
    </row>
    <row r="706">
      <c r="L706" s="1"/>
      <c r="M706" s="1"/>
      <c r="N706" s="1"/>
    </row>
    <row r="707">
      <c r="L707" s="1"/>
      <c r="M707" s="1"/>
      <c r="N707" s="1"/>
    </row>
    <row r="708">
      <c r="L708" s="1"/>
      <c r="M708" s="1"/>
      <c r="N708" s="1"/>
    </row>
    <row r="709">
      <c r="L709" s="1"/>
      <c r="M709" s="1"/>
      <c r="N709" s="1"/>
    </row>
    <row r="710">
      <c r="L710" s="1"/>
      <c r="M710" s="1"/>
      <c r="N710" s="1"/>
    </row>
    <row r="711">
      <c r="L711" s="1"/>
      <c r="M711" s="1"/>
      <c r="N711" s="1"/>
    </row>
    <row r="712">
      <c r="L712" s="1"/>
      <c r="M712" s="1"/>
      <c r="N712" s="1"/>
    </row>
    <row r="713">
      <c r="L713" s="1"/>
      <c r="M713" s="1"/>
      <c r="N713" s="1"/>
    </row>
    <row r="714">
      <c r="L714" s="1"/>
      <c r="M714" s="1"/>
      <c r="N714" s="1"/>
    </row>
    <row r="715">
      <c r="L715" s="1"/>
      <c r="M715" s="1"/>
      <c r="N715" s="1"/>
    </row>
    <row r="716">
      <c r="L716" s="1"/>
      <c r="M716" s="1"/>
      <c r="N716" s="1"/>
    </row>
    <row r="717">
      <c r="L717" s="1"/>
      <c r="M717" s="1"/>
      <c r="N717" s="1"/>
    </row>
    <row r="718">
      <c r="L718" s="1"/>
      <c r="M718" s="1"/>
      <c r="N718" s="1"/>
    </row>
    <row r="719">
      <c r="L719" s="1"/>
      <c r="M719" s="1"/>
      <c r="N719" s="1"/>
    </row>
    <row r="720">
      <c r="L720" s="1"/>
      <c r="M720" s="1"/>
      <c r="N720" s="1"/>
    </row>
    <row r="721">
      <c r="L721" s="1"/>
      <c r="M721" s="1"/>
      <c r="N721" s="1"/>
    </row>
    <row r="722">
      <c r="L722" s="1"/>
      <c r="M722" s="1"/>
      <c r="N722" s="1"/>
    </row>
    <row r="723">
      <c r="L723" s="1"/>
      <c r="M723" s="1"/>
      <c r="N723" s="1"/>
    </row>
    <row r="724">
      <c r="L724" s="1"/>
      <c r="M724" s="1"/>
      <c r="N724" s="1"/>
    </row>
    <row r="725">
      <c r="L725" s="1"/>
      <c r="M725" s="1"/>
      <c r="N725" s="1"/>
    </row>
    <row r="726">
      <c r="L726" s="1"/>
      <c r="M726" s="1"/>
      <c r="N726" s="1"/>
    </row>
    <row r="727">
      <c r="L727" s="1"/>
      <c r="M727" s="1"/>
      <c r="N727" s="1"/>
    </row>
    <row r="728">
      <c r="L728" s="1"/>
      <c r="M728" s="1"/>
      <c r="N728" s="1"/>
    </row>
    <row r="729">
      <c r="L729" s="1"/>
      <c r="M729" s="1"/>
      <c r="N729" s="1"/>
    </row>
    <row r="730">
      <c r="L730" s="1"/>
      <c r="M730" s="1"/>
      <c r="N730" s="1"/>
    </row>
    <row r="731">
      <c r="L731" s="1"/>
      <c r="M731" s="1"/>
      <c r="N731" s="1"/>
    </row>
    <row r="732">
      <c r="L732" s="1"/>
      <c r="M732" s="1"/>
      <c r="N732" s="1"/>
    </row>
    <row r="733">
      <c r="L733" s="1"/>
      <c r="M733" s="1"/>
      <c r="N733" s="1"/>
    </row>
    <row r="734">
      <c r="L734" s="1"/>
      <c r="M734" s="1"/>
      <c r="N734" s="1"/>
    </row>
    <row r="735">
      <c r="L735" s="1"/>
      <c r="M735" s="1"/>
      <c r="N735" s="1"/>
    </row>
    <row r="736">
      <c r="L736" s="1"/>
      <c r="M736" s="1"/>
      <c r="N736" s="1"/>
    </row>
    <row r="737">
      <c r="L737" s="1"/>
      <c r="M737" s="1"/>
      <c r="N737" s="1"/>
    </row>
    <row r="738">
      <c r="L738" s="1"/>
      <c r="M738" s="1"/>
      <c r="N738" s="1"/>
    </row>
    <row r="739">
      <c r="L739" s="1"/>
      <c r="M739" s="1"/>
      <c r="N739" s="1"/>
    </row>
    <row r="740">
      <c r="L740" s="1"/>
      <c r="M740" s="1"/>
      <c r="N740" s="1"/>
    </row>
    <row r="741">
      <c r="L741" s="1"/>
      <c r="M741" s="1"/>
      <c r="N741" s="1"/>
    </row>
    <row r="742">
      <c r="L742" s="1"/>
      <c r="M742" s="1"/>
      <c r="N742" s="1"/>
    </row>
    <row r="743">
      <c r="L743" s="1"/>
      <c r="M743" s="1"/>
      <c r="N743" s="1"/>
    </row>
    <row r="744">
      <c r="L744" s="1"/>
      <c r="M744" s="1"/>
      <c r="N744" s="1"/>
    </row>
    <row r="745">
      <c r="L745" s="1"/>
      <c r="M745" s="1"/>
      <c r="N745" s="1"/>
    </row>
    <row r="746">
      <c r="L746" s="1"/>
      <c r="M746" s="1"/>
      <c r="N746" s="1"/>
    </row>
    <row r="747">
      <c r="L747" s="1"/>
      <c r="M747" s="1"/>
      <c r="N747" s="1"/>
    </row>
    <row r="748">
      <c r="L748" s="1"/>
      <c r="M748" s="1"/>
      <c r="N748" s="1"/>
    </row>
    <row r="749">
      <c r="L749" s="1"/>
      <c r="M749" s="1"/>
      <c r="N749" s="1"/>
    </row>
    <row r="750">
      <c r="L750" s="1"/>
      <c r="M750" s="1"/>
      <c r="N750" s="1"/>
    </row>
    <row r="751">
      <c r="L751" s="1"/>
      <c r="M751" s="1"/>
      <c r="N751" s="1"/>
    </row>
    <row r="752">
      <c r="L752" s="1"/>
      <c r="M752" s="1"/>
      <c r="N752" s="1"/>
    </row>
    <row r="753">
      <c r="L753" s="1"/>
      <c r="M753" s="1"/>
      <c r="N753" s="1"/>
    </row>
    <row r="754">
      <c r="L754" s="1"/>
      <c r="M754" s="1"/>
      <c r="N754" s="1"/>
    </row>
    <row r="755">
      <c r="L755" s="1"/>
      <c r="M755" s="1"/>
      <c r="N755" s="1"/>
    </row>
    <row r="756">
      <c r="L756" s="1"/>
      <c r="M756" s="1"/>
      <c r="N756" s="1"/>
    </row>
    <row r="757">
      <c r="L757" s="1"/>
      <c r="M757" s="1"/>
      <c r="N757" s="1"/>
    </row>
    <row r="758">
      <c r="L758" s="1"/>
      <c r="M758" s="1"/>
      <c r="N758" s="1"/>
    </row>
    <row r="759">
      <c r="L759" s="1"/>
      <c r="M759" s="1"/>
      <c r="N759" s="1"/>
    </row>
    <row r="760">
      <c r="L760" s="1"/>
      <c r="M760" s="1"/>
      <c r="N760" s="1"/>
    </row>
    <row r="761">
      <c r="L761" s="1"/>
      <c r="M761" s="1"/>
      <c r="N761" s="1"/>
    </row>
    <row r="762">
      <c r="L762" s="1"/>
      <c r="M762" s="1"/>
      <c r="N762" s="1"/>
    </row>
    <row r="763">
      <c r="L763" s="1"/>
      <c r="M763" s="1"/>
      <c r="N763" s="1"/>
    </row>
    <row r="764">
      <c r="L764" s="1"/>
      <c r="M764" s="1"/>
      <c r="N764" s="1"/>
    </row>
    <row r="765">
      <c r="L765" s="1"/>
      <c r="M765" s="1"/>
      <c r="N765" s="1"/>
    </row>
    <row r="766">
      <c r="L766" s="1"/>
      <c r="M766" s="1"/>
      <c r="N766" s="1"/>
    </row>
    <row r="767">
      <c r="L767" s="1"/>
      <c r="M767" s="1"/>
      <c r="N767" s="1"/>
    </row>
    <row r="768">
      <c r="L768" s="1"/>
      <c r="M768" s="1"/>
      <c r="N768" s="1"/>
    </row>
    <row r="769">
      <c r="L769" s="1"/>
      <c r="M769" s="1"/>
      <c r="N769" s="1"/>
    </row>
    <row r="770">
      <c r="L770" s="1"/>
      <c r="M770" s="1"/>
      <c r="N770" s="1"/>
    </row>
    <row r="771">
      <c r="L771" s="1"/>
      <c r="M771" s="1"/>
      <c r="N771" s="1"/>
    </row>
    <row r="772">
      <c r="L772" s="1"/>
      <c r="M772" s="1"/>
      <c r="N772" s="1"/>
    </row>
    <row r="773">
      <c r="L773" s="1"/>
      <c r="M773" s="1"/>
      <c r="N773" s="1"/>
    </row>
    <row r="774">
      <c r="L774" s="1"/>
      <c r="M774" s="1"/>
      <c r="N774" s="1"/>
    </row>
    <row r="775">
      <c r="L775" s="1"/>
      <c r="M775" s="1"/>
      <c r="N775" s="1"/>
    </row>
    <row r="776">
      <c r="L776" s="1"/>
      <c r="M776" s="1"/>
      <c r="N776" s="1"/>
    </row>
    <row r="777">
      <c r="L777" s="1"/>
      <c r="M777" s="1"/>
      <c r="N777" s="1"/>
    </row>
    <row r="778">
      <c r="L778" s="1"/>
      <c r="M778" s="1"/>
      <c r="N778" s="1"/>
    </row>
    <row r="779">
      <c r="L779" s="1"/>
      <c r="M779" s="1"/>
      <c r="N779" s="1"/>
    </row>
    <row r="780">
      <c r="L780" s="1"/>
      <c r="M780" s="1"/>
      <c r="N780" s="1"/>
    </row>
    <row r="781">
      <c r="L781" s="1"/>
      <c r="M781" s="1"/>
      <c r="N781" s="1"/>
    </row>
    <row r="782">
      <c r="L782" s="1"/>
      <c r="M782" s="1"/>
      <c r="N782" s="1"/>
    </row>
    <row r="783">
      <c r="L783" s="1"/>
      <c r="M783" s="1"/>
      <c r="N783" s="1"/>
    </row>
    <row r="784">
      <c r="L784" s="1"/>
      <c r="M784" s="1"/>
      <c r="N784" s="1"/>
    </row>
    <row r="785">
      <c r="L785" s="1"/>
      <c r="M785" s="1"/>
      <c r="N785" s="1"/>
    </row>
    <row r="786">
      <c r="L786" s="1"/>
      <c r="M786" s="1"/>
      <c r="N786" s="1"/>
    </row>
    <row r="787">
      <c r="L787" s="1"/>
      <c r="M787" s="1"/>
      <c r="N787" s="1"/>
    </row>
    <row r="788">
      <c r="L788" s="1"/>
      <c r="M788" s="1"/>
      <c r="N788" s="1"/>
    </row>
    <row r="789">
      <c r="L789" s="1"/>
      <c r="M789" s="1"/>
      <c r="N789" s="1"/>
    </row>
    <row r="790">
      <c r="L790" s="1"/>
      <c r="M790" s="1"/>
      <c r="N790" s="1"/>
    </row>
    <row r="791">
      <c r="L791" s="1"/>
      <c r="M791" s="1"/>
      <c r="N791" s="1"/>
    </row>
    <row r="792">
      <c r="L792" s="1"/>
      <c r="M792" s="1"/>
      <c r="N792" s="1"/>
    </row>
    <row r="793">
      <c r="L793" s="1"/>
      <c r="M793" s="1"/>
      <c r="N793" s="1"/>
    </row>
    <row r="794">
      <c r="L794" s="1"/>
      <c r="M794" s="1"/>
      <c r="N794" s="1"/>
    </row>
    <row r="795">
      <c r="L795" s="1"/>
      <c r="M795" s="1"/>
      <c r="N795" s="1"/>
    </row>
    <row r="796">
      <c r="L796" s="1"/>
      <c r="M796" s="1"/>
      <c r="N796" s="1"/>
    </row>
    <row r="797">
      <c r="L797" s="1"/>
      <c r="M797" s="1"/>
      <c r="N797" s="1"/>
    </row>
    <row r="798">
      <c r="L798" s="1"/>
      <c r="M798" s="1"/>
      <c r="N798" s="1"/>
    </row>
    <row r="799">
      <c r="L799" s="1"/>
      <c r="M799" s="1"/>
      <c r="N799" s="1"/>
    </row>
    <row r="800">
      <c r="L800" s="1"/>
      <c r="M800" s="1"/>
      <c r="N800" s="1"/>
    </row>
    <row r="801">
      <c r="L801" s="1"/>
      <c r="M801" s="1"/>
      <c r="N801" s="1"/>
    </row>
    <row r="802">
      <c r="L802" s="1"/>
      <c r="M802" s="1"/>
      <c r="N802" s="1"/>
    </row>
    <row r="803">
      <c r="L803" s="1"/>
      <c r="M803" s="1"/>
      <c r="N803" s="1"/>
    </row>
    <row r="804">
      <c r="L804" s="1"/>
      <c r="M804" s="1"/>
      <c r="N804" s="1"/>
    </row>
    <row r="805">
      <c r="L805" s="1"/>
      <c r="M805" s="1"/>
      <c r="N805" s="1"/>
    </row>
    <row r="806">
      <c r="L806" s="1"/>
      <c r="M806" s="1"/>
      <c r="N806" s="1"/>
    </row>
    <row r="807">
      <c r="L807" s="1"/>
      <c r="M807" s="1"/>
      <c r="N807" s="1"/>
    </row>
    <row r="808">
      <c r="L808" s="1"/>
      <c r="M808" s="1"/>
      <c r="N808" s="1"/>
    </row>
    <row r="809">
      <c r="L809" s="1"/>
      <c r="M809" s="1"/>
      <c r="N809" s="1"/>
    </row>
    <row r="810">
      <c r="L810" s="1"/>
      <c r="M810" s="1"/>
      <c r="N810" s="1"/>
    </row>
    <row r="811">
      <c r="L811" s="1"/>
      <c r="M811" s="1"/>
      <c r="N811" s="1"/>
    </row>
    <row r="812">
      <c r="L812" s="1"/>
      <c r="M812" s="1"/>
      <c r="N812" s="1"/>
    </row>
    <row r="813">
      <c r="L813" s="1"/>
      <c r="M813" s="1"/>
      <c r="N813" s="1"/>
    </row>
    <row r="814">
      <c r="L814" s="1"/>
      <c r="M814" s="1"/>
      <c r="N814" s="1"/>
    </row>
    <row r="815">
      <c r="L815" s="1"/>
      <c r="M815" s="1"/>
      <c r="N815" s="1"/>
    </row>
    <row r="816">
      <c r="L816" s="1"/>
      <c r="M816" s="1"/>
      <c r="N816" s="1"/>
    </row>
    <row r="817">
      <c r="L817" s="1"/>
      <c r="M817" s="1"/>
      <c r="N817" s="1"/>
    </row>
    <row r="818">
      <c r="L818" s="1"/>
      <c r="M818" s="1"/>
      <c r="N818" s="1"/>
    </row>
    <row r="819">
      <c r="L819" s="1"/>
      <c r="M819" s="1"/>
      <c r="N819" s="1"/>
    </row>
    <row r="820">
      <c r="L820" s="1"/>
      <c r="M820" s="1"/>
      <c r="N820" s="1"/>
    </row>
    <row r="821">
      <c r="L821" s="1"/>
      <c r="M821" s="1"/>
      <c r="N821" s="1"/>
    </row>
    <row r="822">
      <c r="L822" s="1"/>
      <c r="M822" s="1"/>
      <c r="N822" s="1"/>
    </row>
    <row r="823">
      <c r="L823" s="1"/>
      <c r="M823" s="1"/>
      <c r="N823" s="1"/>
    </row>
    <row r="824">
      <c r="L824" s="1"/>
      <c r="M824" s="1"/>
      <c r="N824" s="1"/>
    </row>
    <row r="825">
      <c r="L825" s="1"/>
      <c r="M825" s="1"/>
      <c r="N825" s="1"/>
    </row>
    <row r="826">
      <c r="L826" s="1"/>
      <c r="M826" s="1"/>
      <c r="N826" s="1"/>
    </row>
    <row r="827">
      <c r="L827" s="1"/>
      <c r="M827" s="1"/>
      <c r="N827" s="1"/>
    </row>
    <row r="828">
      <c r="L828" s="1"/>
      <c r="M828" s="1"/>
      <c r="N828" s="1"/>
    </row>
    <row r="829">
      <c r="L829" s="1"/>
      <c r="M829" s="1"/>
      <c r="N829" s="1"/>
    </row>
    <row r="830">
      <c r="L830" s="1"/>
      <c r="M830" s="1"/>
      <c r="N830" s="1"/>
    </row>
    <row r="831">
      <c r="L831" s="1"/>
      <c r="M831" s="1"/>
      <c r="N831" s="1"/>
    </row>
    <row r="832">
      <c r="L832" s="1"/>
      <c r="M832" s="1"/>
      <c r="N832" s="1"/>
    </row>
    <row r="833">
      <c r="L833" s="1"/>
      <c r="M833" s="1"/>
      <c r="N833" s="1"/>
    </row>
    <row r="834">
      <c r="L834" s="1"/>
      <c r="M834" s="1"/>
      <c r="N834" s="1"/>
    </row>
    <row r="835">
      <c r="L835" s="1"/>
      <c r="M835" s="1"/>
      <c r="N835" s="1"/>
    </row>
    <row r="836">
      <c r="L836" s="1"/>
      <c r="M836" s="1"/>
      <c r="N836" s="1"/>
    </row>
    <row r="837">
      <c r="L837" s="1"/>
      <c r="M837" s="1"/>
      <c r="N837" s="1"/>
    </row>
    <row r="838">
      <c r="L838" s="1"/>
      <c r="M838" s="1"/>
      <c r="N838" s="1"/>
    </row>
    <row r="839">
      <c r="L839" s="1"/>
      <c r="M839" s="1"/>
      <c r="N839" s="1"/>
    </row>
    <row r="840">
      <c r="L840" s="1"/>
      <c r="M840" s="1"/>
      <c r="N840" s="1"/>
    </row>
    <row r="841">
      <c r="L841" s="1"/>
      <c r="M841" s="1"/>
      <c r="N841" s="1"/>
    </row>
    <row r="842">
      <c r="L842" s="1"/>
      <c r="M842" s="1"/>
      <c r="N842" s="1"/>
    </row>
    <row r="843">
      <c r="L843" s="1"/>
      <c r="M843" s="1"/>
      <c r="N843" s="1"/>
    </row>
    <row r="844">
      <c r="L844" s="1"/>
      <c r="M844" s="1"/>
      <c r="N844" s="1"/>
    </row>
    <row r="845">
      <c r="L845" s="1"/>
      <c r="M845" s="1"/>
      <c r="N845" s="1"/>
    </row>
    <row r="846">
      <c r="L846" s="1"/>
      <c r="M846" s="1"/>
      <c r="N846" s="1"/>
    </row>
    <row r="847">
      <c r="L847" s="1"/>
      <c r="M847" s="1"/>
      <c r="N847" s="1"/>
    </row>
    <row r="848">
      <c r="L848" s="1"/>
      <c r="M848" s="1"/>
      <c r="N848" s="1"/>
    </row>
    <row r="849">
      <c r="L849" s="1"/>
      <c r="M849" s="1"/>
      <c r="N849" s="1"/>
    </row>
    <row r="850">
      <c r="L850" s="1"/>
      <c r="M850" s="1"/>
      <c r="N850" s="1"/>
    </row>
    <row r="851">
      <c r="L851" s="1"/>
      <c r="M851" s="1"/>
      <c r="N851" s="1"/>
    </row>
    <row r="852">
      <c r="L852" s="1"/>
      <c r="M852" s="1"/>
      <c r="N852" s="1"/>
    </row>
    <row r="853">
      <c r="L853" s="1"/>
      <c r="M853" s="1"/>
      <c r="N853" s="1"/>
    </row>
    <row r="854">
      <c r="L854" s="1"/>
      <c r="M854" s="1"/>
      <c r="N854" s="1"/>
    </row>
    <row r="855">
      <c r="L855" s="1"/>
      <c r="M855" s="1"/>
      <c r="N855" s="1"/>
    </row>
    <row r="856">
      <c r="L856" s="1"/>
      <c r="M856" s="1"/>
      <c r="N856" s="1"/>
    </row>
    <row r="857">
      <c r="L857" s="1"/>
      <c r="M857" s="1"/>
      <c r="N857" s="1"/>
    </row>
    <row r="858">
      <c r="L858" s="1"/>
      <c r="M858" s="1"/>
      <c r="N858" s="1"/>
    </row>
    <row r="859">
      <c r="L859" s="1"/>
      <c r="M859" s="1"/>
      <c r="N859" s="1"/>
    </row>
    <row r="860">
      <c r="L860" s="1"/>
      <c r="M860" s="1"/>
      <c r="N860" s="1"/>
    </row>
    <row r="861">
      <c r="L861" s="1"/>
      <c r="M861" s="1"/>
      <c r="N861" s="1"/>
    </row>
    <row r="862">
      <c r="L862" s="1"/>
      <c r="M862" s="1"/>
      <c r="N862" s="1"/>
    </row>
    <row r="863">
      <c r="L863" s="1"/>
      <c r="M863" s="1"/>
      <c r="N863" s="1"/>
    </row>
    <row r="864">
      <c r="L864" s="1"/>
      <c r="M864" s="1"/>
      <c r="N864" s="1"/>
    </row>
    <row r="865">
      <c r="L865" s="1"/>
      <c r="M865" s="1"/>
      <c r="N865" s="1"/>
    </row>
    <row r="866">
      <c r="L866" s="1"/>
      <c r="M866" s="1"/>
      <c r="N866" s="1"/>
    </row>
    <row r="867">
      <c r="L867" s="1"/>
      <c r="M867" s="1"/>
      <c r="N867" s="1"/>
    </row>
    <row r="868">
      <c r="L868" s="1"/>
      <c r="M868" s="1"/>
      <c r="N868" s="1"/>
    </row>
    <row r="869">
      <c r="L869" s="1"/>
      <c r="M869" s="1"/>
      <c r="N869" s="1"/>
    </row>
    <row r="870">
      <c r="L870" s="1"/>
      <c r="M870" s="1"/>
      <c r="N870" s="1"/>
    </row>
    <row r="871">
      <c r="L871" s="1"/>
      <c r="M871" s="1"/>
      <c r="N871" s="1"/>
    </row>
    <row r="872">
      <c r="L872" s="1"/>
      <c r="M872" s="1"/>
      <c r="N872" s="1"/>
    </row>
    <row r="873">
      <c r="L873" s="1"/>
      <c r="M873" s="1"/>
      <c r="N873" s="1"/>
    </row>
    <row r="874">
      <c r="L874" s="1"/>
      <c r="M874" s="1"/>
      <c r="N874" s="1"/>
    </row>
    <row r="875">
      <c r="L875" s="1"/>
      <c r="M875" s="1"/>
      <c r="N875" s="1"/>
    </row>
    <row r="876">
      <c r="L876" s="1"/>
      <c r="M876" s="1"/>
      <c r="N876" s="1"/>
    </row>
    <row r="877">
      <c r="L877" s="1"/>
      <c r="M877" s="1"/>
      <c r="N877" s="1"/>
    </row>
    <row r="878">
      <c r="L878" s="1"/>
      <c r="M878" s="1"/>
      <c r="N878" s="1"/>
    </row>
    <row r="879">
      <c r="L879" s="1"/>
      <c r="M879" s="1"/>
      <c r="N879" s="1"/>
    </row>
    <row r="880">
      <c r="L880" s="1"/>
      <c r="M880" s="1"/>
      <c r="N880" s="1"/>
    </row>
    <row r="881">
      <c r="L881" s="1"/>
      <c r="M881" s="1"/>
      <c r="N881" s="1"/>
    </row>
    <row r="882">
      <c r="L882" s="1"/>
      <c r="M882" s="1"/>
      <c r="N882" s="1"/>
    </row>
    <row r="883">
      <c r="L883" s="1"/>
      <c r="M883" s="1"/>
      <c r="N883" s="1"/>
    </row>
    <row r="884">
      <c r="L884" s="1"/>
      <c r="M884" s="1"/>
      <c r="N884" s="1"/>
    </row>
    <row r="885">
      <c r="L885" s="1"/>
      <c r="M885" s="1"/>
      <c r="N885" s="1"/>
    </row>
    <row r="886">
      <c r="L886" s="1"/>
      <c r="M886" s="1"/>
      <c r="N886" s="1"/>
    </row>
    <row r="887">
      <c r="L887" s="1"/>
      <c r="M887" s="1"/>
      <c r="N887" s="1"/>
    </row>
    <row r="888">
      <c r="L888" s="1"/>
      <c r="M888" s="1"/>
      <c r="N888" s="1"/>
    </row>
    <row r="889">
      <c r="L889" s="1"/>
      <c r="M889" s="1"/>
      <c r="N889" s="1"/>
    </row>
    <row r="890">
      <c r="L890" s="1"/>
      <c r="M890" s="1"/>
      <c r="N890" s="1"/>
    </row>
    <row r="891">
      <c r="L891" s="1"/>
      <c r="M891" s="1"/>
      <c r="N891" s="1"/>
    </row>
    <row r="892">
      <c r="L892" s="1"/>
      <c r="M892" s="1"/>
      <c r="N892" s="1"/>
    </row>
    <row r="893">
      <c r="L893" s="1"/>
      <c r="M893" s="1"/>
      <c r="N893" s="1"/>
    </row>
    <row r="894">
      <c r="L894" s="1"/>
      <c r="M894" s="1"/>
      <c r="N894" s="1"/>
    </row>
    <row r="895">
      <c r="L895" s="1"/>
      <c r="M895" s="1"/>
      <c r="N895" s="1"/>
    </row>
    <row r="896">
      <c r="L896" s="1"/>
      <c r="M896" s="1"/>
      <c r="N896" s="1"/>
    </row>
    <row r="897">
      <c r="L897" s="1"/>
      <c r="M897" s="1"/>
      <c r="N897" s="1"/>
    </row>
    <row r="898">
      <c r="L898" s="1"/>
      <c r="M898" s="1"/>
      <c r="N898" s="1"/>
    </row>
    <row r="899">
      <c r="L899" s="1"/>
      <c r="M899" s="1"/>
      <c r="N899" s="1"/>
    </row>
    <row r="900">
      <c r="L900" s="1"/>
      <c r="M900" s="1"/>
      <c r="N900" s="1"/>
    </row>
    <row r="901">
      <c r="L901" s="1"/>
      <c r="M901" s="1"/>
      <c r="N901" s="1"/>
    </row>
    <row r="902">
      <c r="L902" s="1"/>
      <c r="M902" s="1"/>
      <c r="N902" s="1"/>
    </row>
    <row r="903">
      <c r="L903" s="1"/>
      <c r="M903" s="1"/>
      <c r="N903" s="1"/>
    </row>
    <row r="904">
      <c r="L904" s="1"/>
      <c r="M904" s="1"/>
      <c r="N904" s="1"/>
    </row>
    <row r="905">
      <c r="L905" s="1"/>
      <c r="M905" s="1"/>
      <c r="N905" s="1"/>
    </row>
    <row r="906">
      <c r="L906" s="1"/>
      <c r="M906" s="1"/>
      <c r="N906" s="1"/>
    </row>
    <row r="907">
      <c r="L907" s="1"/>
      <c r="M907" s="1"/>
      <c r="N907" s="1"/>
    </row>
    <row r="908">
      <c r="L908" s="1"/>
      <c r="M908" s="1"/>
      <c r="N908" s="1"/>
    </row>
    <row r="909">
      <c r="L909" s="1"/>
      <c r="M909" s="1"/>
      <c r="N909" s="1"/>
    </row>
    <row r="910">
      <c r="L910" s="1"/>
      <c r="M910" s="1"/>
      <c r="N910" s="1"/>
    </row>
    <row r="911">
      <c r="L911" s="1"/>
      <c r="M911" s="1"/>
      <c r="N911" s="1"/>
    </row>
    <row r="912">
      <c r="L912" s="1"/>
      <c r="M912" s="1"/>
      <c r="N912" s="1"/>
    </row>
    <row r="913">
      <c r="L913" s="1"/>
      <c r="M913" s="1"/>
      <c r="N913" s="1"/>
    </row>
    <row r="914">
      <c r="L914" s="1"/>
      <c r="M914" s="1"/>
      <c r="N914" s="1"/>
    </row>
    <row r="915">
      <c r="L915" s="1"/>
      <c r="M915" s="1"/>
      <c r="N915" s="1"/>
    </row>
    <row r="916">
      <c r="L916" s="1"/>
      <c r="M916" s="1"/>
      <c r="N916" s="1"/>
    </row>
    <row r="917">
      <c r="L917" s="1"/>
      <c r="M917" s="1"/>
      <c r="N917" s="1"/>
    </row>
    <row r="918">
      <c r="L918" s="1"/>
      <c r="M918" s="1"/>
      <c r="N918" s="1"/>
    </row>
    <row r="919">
      <c r="L919" s="1"/>
      <c r="M919" s="1"/>
      <c r="N919" s="1"/>
    </row>
    <row r="920">
      <c r="L920" s="1"/>
      <c r="M920" s="1"/>
      <c r="N920" s="1"/>
    </row>
    <row r="921">
      <c r="L921" s="1"/>
      <c r="M921" s="1"/>
      <c r="N921" s="1"/>
    </row>
    <row r="922">
      <c r="L922" s="1"/>
      <c r="M922" s="1"/>
      <c r="N922" s="1"/>
    </row>
    <row r="923">
      <c r="L923" s="1"/>
      <c r="M923" s="1"/>
      <c r="N923" s="1"/>
    </row>
    <row r="924">
      <c r="L924" s="1"/>
      <c r="M924" s="1"/>
      <c r="N924" s="1"/>
    </row>
    <row r="925">
      <c r="L925" s="1"/>
      <c r="M925" s="1"/>
      <c r="N925" s="1"/>
    </row>
    <row r="926">
      <c r="L926" s="1"/>
      <c r="M926" s="1"/>
      <c r="N926" s="1"/>
    </row>
    <row r="927">
      <c r="L927" s="1"/>
      <c r="M927" s="1"/>
      <c r="N927" s="1"/>
    </row>
    <row r="928">
      <c r="L928" s="1"/>
      <c r="M928" s="1"/>
      <c r="N928" s="1"/>
    </row>
    <row r="929">
      <c r="L929" s="1"/>
      <c r="M929" s="1"/>
      <c r="N929" s="1"/>
    </row>
    <row r="930">
      <c r="L930" s="1"/>
      <c r="M930" s="1"/>
      <c r="N930" s="1"/>
    </row>
    <row r="931">
      <c r="L931" s="1"/>
      <c r="M931" s="1"/>
      <c r="N931" s="1"/>
    </row>
    <row r="932">
      <c r="L932" s="1"/>
      <c r="M932" s="1"/>
      <c r="N932" s="1"/>
    </row>
    <row r="933">
      <c r="L933" s="1"/>
      <c r="M933" s="1"/>
      <c r="N933" s="1"/>
    </row>
    <row r="934">
      <c r="L934" s="1"/>
      <c r="M934" s="1"/>
      <c r="N934" s="1"/>
    </row>
    <row r="935">
      <c r="L935" s="1"/>
      <c r="M935" s="1"/>
      <c r="N935" s="1"/>
    </row>
    <row r="936">
      <c r="L936" s="1"/>
      <c r="M936" s="1"/>
      <c r="N936" s="1"/>
    </row>
    <row r="937">
      <c r="L937" s="1"/>
      <c r="M937" s="1"/>
      <c r="N937" s="1"/>
    </row>
    <row r="938">
      <c r="L938" s="1"/>
      <c r="M938" s="1"/>
      <c r="N938" s="1"/>
    </row>
    <row r="939">
      <c r="L939" s="1"/>
      <c r="M939" s="1"/>
      <c r="N939" s="1"/>
    </row>
    <row r="940">
      <c r="L940" s="1"/>
      <c r="M940" s="1"/>
      <c r="N940" s="1"/>
    </row>
    <row r="941">
      <c r="L941" s="1"/>
      <c r="M941" s="1"/>
      <c r="N941" s="1"/>
    </row>
    <row r="942">
      <c r="L942" s="1"/>
      <c r="M942" s="1"/>
      <c r="N942" s="1"/>
    </row>
    <row r="943">
      <c r="L943" s="1"/>
      <c r="M943" s="1"/>
      <c r="N943" s="1"/>
    </row>
    <row r="944">
      <c r="L944" s="1"/>
      <c r="M944" s="1"/>
      <c r="N944" s="1"/>
    </row>
    <row r="945">
      <c r="L945" s="1"/>
      <c r="M945" s="1"/>
      <c r="N945" s="1"/>
    </row>
    <row r="946">
      <c r="L946" s="1"/>
      <c r="M946" s="1"/>
      <c r="N946" s="1"/>
    </row>
    <row r="947">
      <c r="L947" s="1"/>
      <c r="M947" s="1"/>
      <c r="N947" s="1"/>
    </row>
    <row r="948">
      <c r="L948" s="1"/>
      <c r="M948" s="1"/>
      <c r="N948" s="1"/>
    </row>
    <row r="949">
      <c r="L949" s="1"/>
      <c r="M949" s="1"/>
      <c r="N949" s="1"/>
    </row>
    <row r="950">
      <c r="L950" s="1"/>
      <c r="M950" s="1"/>
      <c r="N950" s="1"/>
    </row>
    <row r="951">
      <c r="L951" s="1"/>
      <c r="M951" s="1"/>
      <c r="N951" s="1"/>
    </row>
    <row r="952">
      <c r="L952" s="1"/>
      <c r="M952" s="1"/>
      <c r="N952" s="1"/>
    </row>
    <row r="953">
      <c r="L953" s="1"/>
      <c r="M953" s="1"/>
      <c r="N953" s="1"/>
    </row>
    <row r="954">
      <c r="L954" s="1"/>
      <c r="M954" s="1"/>
      <c r="N954" s="1"/>
    </row>
    <row r="955">
      <c r="L955" s="1"/>
      <c r="M955" s="1"/>
      <c r="N955" s="1"/>
    </row>
    <row r="956">
      <c r="L956" s="1"/>
      <c r="M956" s="1"/>
      <c r="N956" s="1"/>
    </row>
    <row r="957">
      <c r="L957" s="1"/>
      <c r="M957" s="1"/>
      <c r="N957" s="1"/>
    </row>
    <row r="958">
      <c r="L958" s="1"/>
      <c r="M958" s="1"/>
      <c r="N958" s="1"/>
    </row>
    <row r="959">
      <c r="L959" s="1"/>
      <c r="M959" s="1"/>
      <c r="N959" s="1"/>
    </row>
    <row r="960">
      <c r="L960" s="1"/>
      <c r="M960" s="1"/>
      <c r="N960" s="1"/>
    </row>
    <row r="961">
      <c r="L961" s="1"/>
      <c r="M961" s="1"/>
      <c r="N961" s="1"/>
    </row>
    <row r="962">
      <c r="L962" s="1"/>
      <c r="M962" s="1"/>
      <c r="N962" s="1"/>
    </row>
    <row r="963">
      <c r="L963" s="1"/>
      <c r="M963" s="1"/>
      <c r="N963" s="1"/>
    </row>
    <row r="964">
      <c r="L964" s="1"/>
      <c r="M964" s="1"/>
      <c r="N964" s="1"/>
    </row>
    <row r="965">
      <c r="L965" s="1"/>
      <c r="M965" s="1"/>
      <c r="N965" s="1"/>
    </row>
    <row r="966">
      <c r="L966" s="1"/>
      <c r="M966" s="1"/>
      <c r="N966" s="1"/>
    </row>
    <row r="967">
      <c r="L967" s="1"/>
      <c r="M967" s="1"/>
      <c r="N967" s="1"/>
    </row>
    <row r="968">
      <c r="L968" s="1"/>
      <c r="M968" s="1"/>
      <c r="N968" s="1"/>
    </row>
    <row r="969">
      <c r="L969" s="1"/>
      <c r="M969" s="1"/>
      <c r="N969" s="1"/>
    </row>
    <row r="970">
      <c r="L970" s="1"/>
      <c r="M970" s="1"/>
      <c r="N970" s="1"/>
    </row>
    <row r="971">
      <c r="L971" s="1"/>
      <c r="M971" s="1"/>
      <c r="N971" s="1"/>
    </row>
    <row r="972">
      <c r="L972" s="1"/>
      <c r="M972" s="1"/>
      <c r="N972" s="1"/>
    </row>
    <row r="973">
      <c r="L973" s="1"/>
      <c r="M973" s="1"/>
      <c r="N973" s="1"/>
    </row>
    <row r="974">
      <c r="L974" s="1"/>
      <c r="M974" s="1"/>
      <c r="N974" s="1"/>
    </row>
    <row r="975">
      <c r="L975" s="1"/>
      <c r="M975" s="1"/>
      <c r="N975" s="1"/>
    </row>
    <row r="976">
      <c r="L976" s="1"/>
      <c r="M976" s="1"/>
      <c r="N976" s="1"/>
    </row>
    <row r="977">
      <c r="L977" s="1"/>
      <c r="M977" s="1"/>
      <c r="N977" s="1"/>
    </row>
    <row r="978">
      <c r="L978" s="1"/>
      <c r="M978" s="1"/>
      <c r="N978" s="1"/>
    </row>
    <row r="979">
      <c r="L979" s="1"/>
      <c r="M979" s="1"/>
      <c r="N979" s="1"/>
    </row>
    <row r="980">
      <c r="L980" s="1"/>
      <c r="M980" s="1"/>
      <c r="N980" s="1"/>
    </row>
    <row r="981">
      <c r="L981" s="1"/>
      <c r="M981" s="1"/>
      <c r="N981" s="1"/>
    </row>
    <row r="982">
      <c r="L982" s="1"/>
      <c r="M982" s="1"/>
      <c r="N982" s="1"/>
    </row>
    <row r="983">
      <c r="L983" s="1"/>
      <c r="M983" s="1"/>
      <c r="N983" s="1"/>
    </row>
    <row r="984">
      <c r="L984" s="1"/>
      <c r="M984" s="1"/>
      <c r="N984" s="1"/>
    </row>
    <row r="985">
      <c r="L985" s="1"/>
      <c r="M985" s="1"/>
      <c r="N985" s="1"/>
    </row>
    <row r="986">
      <c r="L986" s="1"/>
      <c r="M986" s="1"/>
      <c r="N986" s="1"/>
    </row>
    <row r="987">
      <c r="L987" s="1"/>
      <c r="M987" s="1"/>
      <c r="N987" s="1"/>
    </row>
    <row r="988">
      <c r="L988" s="1"/>
      <c r="M988" s="1"/>
      <c r="N988" s="1"/>
    </row>
    <row r="989">
      <c r="L989" s="1"/>
      <c r="M989" s="1"/>
      <c r="N989" s="1"/>
    </row>
    <row r="990">
      <c r="L990" s="1"/>
      <c r="M990" s="1"/>
      <c r="N990" s="1"/>
    </row>
    <row r="991">
      <c r="L991" s="1"/>
      <c r="M991" s="1"/>
      <c r="N991" s="1"/>
    </row>
    <row r="992">
      <c r="L992" s="1"/>
      <c r="M992" s="1"/>
      <c r="N992" s="1"/>
    </row>
    <row r="993">
      <c r="L993" s="1"/>
      <c r="M993" s="1"/>
      <c r="N993" s="1"/>
    </row>
    <row r="994">
      <c r="L994" s="1"/>
      <c r="M994" s="1"/>
      <c r="N994" s="1"/>
    </row>
    <row r="995">
      <c r="L995" s="1"/>
      <c r="M995" s="1"/>
      <c r="N995" s="1"/>
    </row>
    <row r="996">
      <c r="L996" s="1"/>
      <c r="M996" s="1"/>
      <c r="N996" s="1"/>
    </row>
    <row r="997">
      <c r="L997" s="1"/>
      <c r="M997" s="1"/>
      <c r="N997" s="1"/>
    </row>
    <row r="998">
      <c r="L998" s="1"/>
      <c r="M998" s="1"/>
      <c r="N998" s="1"/>
    </row>
    <row r="999">
      <c r="L999" s="1"/>
      <c r="M999" s="1"/>
      <c r="N999" s="1"/>
    </row>
    <row r="1000">
      <c r="L1000" s="1"/>
      <c r="M1000" s="1"/>
      <c r="N1000" s="1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13"/>
    <col customWidth="1" min="12" max="12" width="7.75"/>
  </cols>
  <sheetData>
    <row r="1">
      <c r="M1" s="68"/>
    </row>
    <row r="2">
      <c r="M2" s="68"/>
    </row>
    <row r="3">
      <c r="M3" s="68"/>
    </row>
    <row r="4">
      <c r="M4" s="68"/>
    </row>
    <row r="5">
      <c r="B5" s="15" t="s">
        <v>7</v>
      </c>
      <c r="C5" s="15" t="s">
        <v>10</v>
      </c>
      <c r="D5" s="70" t="s">
        <v>177</v>
      </c>
      <c r="E5" s="70" t="s">
        <v>179</v>
      </c>
      <c r="F5" s="70" t="s">
        <v>59</v>
      </c>
      <c r="G5" s="70" t="s">
        <v>60</v>
      </c>
      <c r="H5" s="70" t="s">
        <v>181</v>
      </c>
      <c r="I5" s="70" t="s">
        <v>182</v>
      </c>
      <c r="J5" s="72" t="s">
        <v>183</v>
      </c>
      <c r="L5" s="72" t="s">
        <v>67</v>
      </c>
      <c r="M5" s="73" t="s">
        <v>184</v>
      </c>
    </row>
    <row r="6">
      <c r="B6" s="59">
        <v>2.010109E7</v>
      </c>
      <c r="C6" s="59" t="s">
        <v>22</v>
      </c>
      <c r="D6" s="38">
        <v>1.0</v>
      </c>
      <c r="E6" s="38">
        <v>1.5</v>
      </c>
      <c r="F6" s="38">
        <v>10.0</v>
      </c>
      <c r="G6" s="38">
        <v>6.0</v>
      </c>
      <c r="H6" s="38">
        <v>2.0</v>
      </c>
      <c r="I6" s="38">
        <v>0.0</v>
      </c>
      <c r="J6" s="40"/>
      <c r="K6" s="64"/>
      <c r="L6" s="75">
        <f t="shared" ref="L6:L44" si="1">D6+E6+F6+G6+H6+I6+J6</f>
        <v>20.5</v>
      </c>
      <c r="M6" s="65">
        <f t="shared" ref="M6:M44" si="2">(L6 * 35)/50</f>
        <v>14.35</v>
      </c>
    </row>
    <row r="7">
      <c r="B7" s="59">
        <v>2.1101287E7</v>
      </c>
      <c r="C7" s="59" t="s">
        <v>71</v>
      </c>
      <c r="D7" s="52"/>
      <c r="E7" s="52"/>
      <c r="F7" s="52"/>
      <c r="G7" s="52"/>
      <c r="H7" s="52"/>
      <c r="I7" s="52"/>
      <c r="J7" s="52"/>
      <c r="K7" s="64"/>
      <c r="L7" s="75">
        <f t="shared" si="1"/>
        <v>0</v>
      </c>
      <c r="M7" s="65">
        <f t="shared" si="2"/>
        <v>0</v>
      </c>
    </row>
    <row r="8">
      <c r="B8" s="59">
        <v>2.2201061E7</v>
      </c>
      <c r="C8" s="59" t="s">
        <v>78</v>
      </c>
      <c r="D8" s="38">
        <v>1.0</v>
      </c>
      <c r="E8" s="38">
        <v>2.0</v>
      </c>
      <c r="F8" s="38">
        <v>10.0</v>
      </c>
      <c r="G8" s="38">
        <v>8.5</v>
      </c>
      <c r="H8" s="38">
        <v>2.0</v>
      </c>
      <c r="I8" s="38">
        <v>3.0</v>
      </c>
      <c r="J8" s="40"/>
      <c r="K8" s="64"/>
      <c r="L8" s="75">
        <f t="shared" si="1"/>
        <v>26.5</v>
      </c>
      <c r="M8" s="65">
        <f t="shared" si="2"/>
        <v>18.55</v>
      </c>
    </row>
    <row r="9">
      <c r="B9" s="59">
        <v>2.2201985E7</v>
      </c>
      <c r="C9" s="59" t="s">
        <v>83</v>
      </c>
      <c r="D9" s="51">
        <v>0.0</v>
      </c>
      <c r="E9" s="51">
        <v>2.0</v>
      </c>
      <c r="F9" s="51">
        <v>7.5</v>
      </c>
      <c r="G9" s="51">
        <v>0.0</v>
      </c>
      <c r="H9" s="51">
        <v>3.0</v>
      </c>
      <c r="I9" s="51">
        <v>1.5</v>
      </c>
      <c r="J9" s="52"/>
      <c r="K9" s="64"/>
      <c r="L9" s="75">
        <f t="shared" si="1"/>
        <v>14</v>
      </c>
      <c r="M9" s="65">
        <f t="shared" si="2"/>
        <v>9.8</v>
      </c>
    </row>
    <row r="10">
      <c r="B10" s="59">
        <v>2.2299374E7</v>
      </c>
      <c r="C10" s="59" t="s">
        <v>97</v>
      </c>
      <c r="D10" s="38">
        <v>0.0</v>
      </c>
      <c r="E10" s="38">
        <v>1.5</v>
      </c>
      <c r="F10" s="38">
        <v>10.0</v>
      </c>
      <c r="G10" s="38">
        <v>9.5</v>
      </c>
      <c r="H10" s="38">
        <v>3.0</v>
      </c>
      <c r="I10" s="38">
        <v>7.0</v>
      </c>
      <c r="J10" s="40"/>
      <c r="K10" s="64"/>
      <c r="L10" s="75">
        <f t="shared" si="1"/>
        <v>31</v>
      </c>
      <c r="M10" s="65">
        <f t="shared" si="2"/>
        <v>21.7</v>
      </c>
    </row>
    <row r="11">
      <c r="B11" s="59">
        <v>2.230143E7</v>
      </c>
      <c r="C11" s="59" t="s">
        <v>105</v>
      </c>
      <c r="D11" s="51">
        <v>4.0</v>
      </c>
      <c r="E11" s="51">
        <v>5.5</v>
      </c>
      <c r="F11" s="51">
        <v>10.0</v>
      </c>
      <c r="G11" s="51">
        <v>4.0</v>
      </c>
      <c r="H11" s="51">
        <v>3.0</v>
      </c>
      <c r="I11" s="51">
        <v>3.0</v>
      </c>
      <c r="J11" s="52"/>
      <c r="K11" s="64"/>
      <c r="L11" s="75">
        <f t="shared" si="1"/>
        <v>29.5</v>
      </c>
      <c r="M11" s="65">
        <f t="shared" si="2"/>
        <v>20.65</v>
      </c>
    </row>
    <row r="12">
      <c r="B12" s="59">
        <v>2.230159E7</v>
      </c>
      <c r="C12" s="59" t="s">
        <v>110</v>
      </c>
      <c r="D12" s="38">
        <v>0.0</v>
      </c>
      <c r="E12" s="38">
        <v>1.5</v>
      </c>
      <c r="F12" s="38">
        <v>9.0</v>
      </c>
      <c r="G12" s="38">
        <v>0.5</v>
      </c>
      <c r="H12" s="38">
        <v>3.0</v>
      </c>
      <c r="I12" s="38">
        <v>0.0</v>
      </c>
      <c r="J12" s="40"/>
      <c r="K12" s="64"/>
      <c r="L12" s="75">
        <f t="shared" si="1"/>
        <v>14</v>
      </c>
      <c r="M12" s="65">
        <f t="shared" si="2"/>
        <v>9.8</v>
      </c>
    </row>
    <row r="13">
      <c r="B13" s="59">
        <v>2.2301681E7</v>
      </c>
      <c r="C13" s="59" t="s">
        <v>112</v>
      </c>
      <c r="D13" s="52"/>
      <c r="E13" s="52"/>
      <c r="F13" s="52"/>
      <c r="G13" s="52"/>
      <c r="H13" s="52"/>
      <c r="I13" s="52"/>
      <c r="J13" s="52"/>
      <c r="K13" s="64"/>
      <c r="L13" s="75">
        <f t="shared" si="1"/>
        <v>0</v>
      </c>
      <c r="M13" s="65">
        <f t="shared" si="2"/>
        <v>0</v>
      </c>
    </row>
    <row r="14">
      <c r="B14" s="59">
        <v>2.3101322E7</v>
      </c>
      <c r="C14" s="59" t="s">
        <v>114</v>
      </c>
      <c r="D14" s="40"/>
      <c r="E14" s="40"/>
      <c r="F14" s="40"/>
      <c r="G14" s="40"/>
      <c r="H14" s="40"/>
      <c r="I14" s="40"/>
      <c r="J14" s="40"/>
      <c r="K14" s="64"/>
      <c r="L14" s="75">
        <f t="shared" si="1"/>
        <v>0</v>
      </c>
      <c r="M14" s="65">
        <f t="shared" si="2"/>
        <v>0</v>
      </c>
    </row>
    <row r="15">
      <c r="B15" s="59">
        <v>2.3201623E7</v>
      </c>
      <c r="C15" s="59" t="s">
        <v>116</v>
      </c>
      <c r="D15" s="51">
        <v>2.0</v>
      </c>
      <c r="E15" s="51">
        <v>1.5</v>
      </c>
      <c r="F15" s="51">
        <v>10.0</v>
      </c>
      <c r="G15" s="51">
        <v>5.0</v>
      </c>
      <c r="H15" s="51">
        <v>2.25</v>
      </c>
      <c r="I15" s="51">
        <v>4.5</v>
      </c>
      <c r="J15" s="52"/>
      <c r="K15" s="64"/>
      <c r="L15" s="75">
        <f t="shared" si="1"/>
        <v>25.25</v>
      </c>
      <c r="M15" s="65">
        <f t="shared" si="2"/>
        <v>17.675</v>
      </c>
    </row>
    <row r="16">
      <c r="B16" s="59">
        <v>2.3241015E7</v>
      </c>
      <c r="C16" s="59" t="s">
        <v>118</v>
      </c>
      <c r="D16" s="40"/>
      <c r="E16" s="40"/>
      <c r="F16" s="40"/>
      <c r="G16" s="40"/>
      <c r="H16" s="40"/>
      <c r="I16" s="40"/>
      <c r="J16" s="40"/>
      <c r="K16" s="64"/>
      <c r="L16" s="75">
        <f t="shared" si="1"/>
        <v>0</v>
      </c>
      <c r="M16" s="65">
        <f t="shared" si="2"/>
        <v>0</v>
      </c>
    </row>
    <row r="17">
      <c r="B17" s="59">
        <v>2.3301214E7</v>
      </c>
      <c r="C17" s="59" t="s">
        <v>120</v>
      </c>
      <c r="D17" s="51">
        <v>4.5</v>
      </c>
      <c r="E17" s="51">
        <v>2.0</v>
      </c>
      <c r="F17" s="51">
        <v>10.0</v>
      </c>
      <c r="G17" s="51">
        <v>2.0</v>
      </c>
      <c r="H17" s="51">
        <v>1.0</v>
      </c>
      <c r="I17" s="51">
        <v>0.5</v>
      </c>
      <c r="J17" s="52"/>
      <c r="K17" s="64"/>
      <c r="L17" s="75">
        <f t="shared" si="1"/>
        <v>20</v>
      </c>
      <c r="M17" s="65">
        <f t="shared" si="2"/>
        <v>14</v>
      </c>
    </row>
    <row r="18">
      <c r="B18" s="59">
        <v>2.410124E7</v>
      </c>
      <c r="C18" s="59" t="s">
        <v>122</v>
      </c>
      <c r="D18" s="38">
        <v>3.0</v>
      </c>
      <c r="E18" s="38">
        <v>7.5</v>
      </c>
      <c r="F18" s="38">
        <v>10.0</v>
      </c>
      <c r="G18" s="38">
        <v>1.5</v>
      </c>
      <c r="H18" s="38">
        <v>2.0</v>
      </c>
      <c r="I18" s="38">
        <v>0.5</v>
      </c>
      <c r="J18" s="40"/>
      <c r="K18" s="64"/>
      <c r="L18" s="75">
        <f t="shared" si="1"/>
        <v>24.5</v>
      </c>
      <c r="M18" s="65">
        <f t="shared" si="2"/>
        <v>17.15</v>
      </c>
    </row>
    <row r="19">
      <c r="B19" s="59">
        <v>2.4101271E7</v>
      </c>
      <c r="C19" s="59" t="s">
        <v>124</v>
      </c>
      <c r="D19" s="51">
        <v>4.5</v>
      </c>
      <c r="E19" s="51">
        <v>8.5</v>
      </c>
      <c r="F19" s="51">
        <v>10.0</v>
      </c>
      <c r="G19" s="51">
        <v>10.0</v>
      </c>
      <c r="H19" s="51">
        <v>2.0</v>
      </c>
      <c r="I19" s="51">
        <v>4.25</v>
      </c>
      <c r="J19" s="52"/>
      <c r="K19" s="64"/>
      <c r="L19" s="75">
        <f t="shared" si="1"/>
        <v>39.25</v>
      </c>
      <c r="M19" s="65">
        <f t="shared" si="2"/>
        <v>27.475</v>
      </c>
    </row>
    <row r="20">
      <c r="B20" s="59">
        <v>2.4101344E7</v>
      </c>
      <c r="C20" s="59" t="s">
        <v>126</v>
      </c>
      <c r="D20" s="38">
        <v>1.0</v>
      </c>
      <c r="E20" s="38">
        <v>3.0</v>
      </c>
      <c r="F20" s="38">
        <v>9.5</v>
      </c>
      <c r="G20" s="38">
        <v>6.0</v>
      </c>
      <c r="H20" s="38">
        <v>4.0</v>
      </c>
      <c r="I20" s="38">
        <v>0.0</v>
      </c>
      <c r="J20" s="40"/>
      <c r="K20" s="64"/>
      <c r="L20" s="75">
        <f t="shared" si="1"/>
        <v>23.5</v>
      </c>
      <c r="M20" s="65">
        <f t="shared" si="2"/>
        <v>16.45</v>
      </c>
    </row>
    <row r="21">
      <c r="B21" s="59">
        <v>2.4121034E7</v>
      </c>
      <c r="C21" s="59" t="s">
        <v>128</v>
      </c>
      <c r="D21" s="51">
        <v>1.5</v>
      </c>
      <c r="E21" s="51">
        <v>3.75</v>
      </c>
      <c r="F21" s="51">
        <v>10.0</v>
      </c>
      <c r="G21" s="51">
        <v>4.0</v>
      </c>
      <c r="H21" s="51">
        <v>2.0</v>
      </c>
      <c r="I21" s="51">
        <v>4.5</v>
      </c>
      <c r="J21" s="52"/>
      <c r="K21" s="64"/>
      <c r="L21" s="75">
        <f t="shared" si="1"/>
        <v>25.75</v>
      </c>
      <c r="M21" s="65">
        <f t="shared" si="2"/>
        <v>18.025</v>
      </c>
    </row>
    <row r="22">
      <c r="B22" s="59">
        <v>2.4141057E7</v>
      </c>
      <c r="C22" s="59" t="s">
        <v>130</v>
      </c>
      <c r="D22" s="38">
        <v>0.0</v>
      </c>
      <c r="E22" s="38">
        <v>1.5</v>
      </c>
      <c r="F22" s="38">
        <v>9.0</v>
      </c>
      <c r="G22" s="38">
        <v>4.5</v>
      </c>
      <c r="H22" s="38">
        <v>3.0</v>
      </c>
      <c r="I22" s="38">
        <v>2.5</v>
      </c>
      <c r="J22" s="40"/>
      <c r="K22" s="64"/>
      <c r="L22" s="75">
        <f t="shared" si="1"/>
        <v>20.5</v>
      </c>
      <c r="M22" s="65">
        <f t="shared" si="2"/>
        <v>14.35</v>
      </c>
    </row>
    <row r="23">
      <c r="B23" s="59">
        <v>2.4301059E7</v>
      </c>
      <c r="C23" s="59" t="s">
        <v>132</v>
      </c>
      <c r="D23" s="51">
        <v>5.0</v>
      </c>
      <c r="E23" s="63">
        <v>4.0</v>
      </c>
      <c r="F23" s="51">
        <v>10.0</v>
      </c>
      <c r="G23" s="63">
        <v>6.5</v>
      </c>
      <c r="H23" s="51">
        <v>1.0</v>
      </c>
      <c r="I23" s="51">
        <v>7.25</v>
      </c>
      <c r="J23" s="52"/>
      <c r="K23" s="64"/>
      <c r="L23" s="75">
        <f t="shared" si="1"/>
        <v>33.75</v>
      </c>
      <c r="M23" s="65">
        <f t="shared" si="2"/>
        <v>23.625</v>
      </c>
    </row>
    <row r="24">
      <c r="B24" s="59">
        <v>2.430108E7</v>
      </c>
      <c r="C24" s="59" t="s">
        <v>134</v>
      </c>
      <c r="D24" s="38">
        <v>4.5</v>
      </c>
      <c r="E24" s="38">
        <v>3.0</v>
      </c>
      <c r="F24" s="38">
        <v>10.0</v>
      </c>
      <c r="G24" s="38">
        <v>7.0</v>
      </c>
      <c r="H24" s="38">
        <v>2.5</v>
      </c>
      <c r="I24" s="38">
        <v>4.5</v>
      </c>
      <c r="J24" s="40"/>
      <c r="K24" s="64"/>
      <c r="L24" s="75">
        <f t="shared" si="1"/>
        <v>31.5</v>
      </c>
      <c r="M24" s="65">
        <f t="shared" si="2"/>
        <v>22.05</v>
      </c>
    </row>
    <row r="25">
      <c r="B25" s="59">
        <v>2.4301141E7</v>
      </c>
      <c r="C25" s="59" t="s">
        <v>136</v>
      </c>
      <c r="D25" s="51">
        <v>4.5</v>
      </c>
      <c r="E25" s="51">
        <v>9.5</v>
      </c>
      <c r="F25" s="51">
        <v>10.0</v>
      </c>
      <c r="G25" s="51">
        <v>10.0</v>
      </c>
      <c r="H25" s="51">
        <v>2.0</v>
      </c>
      <c r="I25" s="51">
        <v>9.5</v>
      </c>
      <c r="J25" s="52"/>
      <c r="K25" s="64"/>
      <c r="L25" s="75">
        <f t="shared" si="1"/>
        <v>45.5</v>
      </c>
      <c r="M25" s="65">
        <f t="shared" si="2"/>
        <v>31.85</v>
      </c>
    </row>
    <row r="26">
      <c r="B26" s="59">
        <v>2.4301278E7</v>
      </c>
      <c r="C26" s="59" t="s">
        <v>139</v>
      </c>
      <c r="D26" s="38">
        <v>0.5</v>
      </c>
      <c r="E26" s="38">
        <v>1.5</v>
      </c>
      <c r="F26" s="38">
        <v>10.0</v>
      </c>
      <c r="G26" s="38">
        <v>0.5</v>
      </c>
      <c r="H26" s="38">
        <v>2.0</v>
      </c>
      <c r="I26" s="38">
        <v>2.75</v>
      </c>
      <c r="J26" s="40"/>
      <c r="K26" s="64"/>
      <c r="L26" s="75">
        <f t="shared" si="1"/>
        <v>17.25</v>
      </c>
      <c r="M26" s="65">
        <f t="shared" si="2"/>
        <v>12.075</v>
      </c>
    </row>
    <row r="27">
      <c r="B27" s="59">
        <v>2.4301283E7</v>
      </c>
      <c r="C27" s="59" t="s">
        <v>141</v>
      </c>
      <c r="D27" s="63">
        <v>5.0</v>
      </c>
      <c r="E27" s="51">
        <v>7.0</v>
      </c>
      <c r="F27" s="51">
        <v>10.0</v>
      </c>
      <c r="G27" s="51">
        <v>10.0</v>
      </c>
      <c r="H27" s="51">
        <v>2.0</v>
      </c>
      <c r="I27" s="51">
        <v>8.75</v>
      </c>
      <c r="J27" s="63">
        <v>1.75</v>
      </c>
      <c r="K27" s="64"/>
      <c r="L27" s="75">
        <f t="shared" si="1"/>
        <v>44.5</v>
      </c>
      <c r="M27" s="65">
        <f t="shared" si="2"/>
        <v>31.15</v>
      </c>
    </row>
    <row r="28">
      <c r="B28" s="59">
        <v>2.4301288E7</v>
      </c>
      <c r="C28" s="59" t="s">
        <v>143</v>
      </c>
      <c r="D28" s="38">
        <v>4.5</v>
      </c>
      <c r="E28" s="38">
        <v>6.5</v>
      </c>
      <c r="F28" s="38">
        <v>10.0</v>
      </c>
      <c r="G28" s="38">
        <v>9.5</v>
      </c>
      <c r="H28" s="38">
        <v>3.0</v>
      </c>
      <c r="I28" s="38">
        <v>6.25</v>
      </c>
      <c r="J28" s="40"/>
      <c r="K28" s="64"/>
      <c r="L28" s="75">
        <f t="shared" si="1"/>
        <v>39.75</v>
      </c>
      <c r="M28" s="65">
        <f t="shared" si="2"/>
        <v>27.825</v>
      </c>
    </row>
    <row r="29">
      <c r="B29" s="59">
        <v>2.430132E7</v>
      </c>
      <c r="C29" s="59" t="s">
        <v>145</v>
      </c>
      <c r="D29" s="51">
        <v>3.5</v>
      </c>
      <c r="E29" s="51">
        <v>9.0</v>
      </c>
      <c r="F29" s="51">
        <v>10.0</v>
      </c>
      <c r="G29" s="51">
        <v>8.0</v>
      </c>
      <c r="H29" s="51">
        <v>3.0</v>
      </c>
      <c r="I29" s="51">
        <v>6.5</v>
      </c>
      <c r="J29" s="52"/>
      <c r="K29" s="64"/>
      <c r="L29" s="75">
        <f t="shared" si="1"/>
        <v>40</v>
      </c>
      <c r="M29" s="65">
        <f t="shared" si="2"/>
        <v>28</v>
      </c>
    </row>
    <row r="30">
      <c r="B30" s="59">
        <v>2.4301357E7</v>
      </c>
      <c r="C30" s="59" t="s">
        <v>147</v>
      </c>
      <c r="D30" s="38">
        <v>5.0</v>
      </c>
      <c r="E30" s="56">
        <v>7.5</v>
      </c>
      <c r="F30" s="38">
        <v>10.0</v>
      </c>
      <c r="G30" s="38">
        <v>9.0</v>
      </c>
      <c r="H30" s="38">
        <v>3.0</v>
      </c>
      <c r="I30" s="38">
        <v>5.5</v>
      </c>
      <c r="J30" s="40"/>
      <c r="K30" s="64"/>
      <c r="L30" s="75">
        <f t="shared" si="1"/>
        <v>40</v>
      </c>
      <c r="M30" s="65">
        <f t="shared" si="2"/>
        <v>28</v>
      </c>
    </row>
    <row r="31">
      <c r="B31" s="59">
        <v>2.4301403E7</v>
      </c>
      <c r="C31" s="59" t="s">
        <v>149</v>
      </c>
      <c r="D31" s="51">
        <v>5.0</v>
      </c>
      <c r="E31" s="51">
        <v>5.0</v>
      </c>
      <c r="F31" s="51">
        <v>10.0</v>
      </c>
      <c r="G31" s="51">
        <v>10.0</v>
      </c>
      <c r="H31" s="51">
        <v>2.0</v>
      </c>
      <c r="I31" s="51">
        <v>5.75</v>
      </c>
      <c r="J31" s="52"/>
      <c r="K31" s="64"/>
      <c r="L31" s="75">
        <f t="shared" si="1"/>
        <v>37.75</v>
      </c>
      <c r="M31" s="65">
        <f t="shared" si="2"/>
        <v>26.425</v>
      </c>
    </row>
    <row r="32">
      <c r="B32" s="59">
        <v>2.4301413E7</v>
      </c>
      <c r="C32" s="59" t="s">
        <v>151</v>
      </c>
      <c r="D32" s="56">
        <v>4.5</v>
      </c>
      <c r="E32" s="38">
        <v>7.5</v>
      </c>
      <c r="F32" s="38">
        <v>10.0</v>
      </c>
      <c r="G32" s="38">
        <v>10.0</v>
      </c>
      <c r="H32" s="38">
        <v>3.0</v>
      </c>
      <c r="I32" s="38">
        <v>5.75</v>
      </c>
      <c r="J32" s="40"/>
      <c r="K32" s="64"/>
      <c r="L32" s="75">
        <f t="shared" si="1"/>
        <v>40.75</v>
      </c>
      <c r="M32" s="65">
        <f t="shared" si="2"/>
        <v>28.525</v>
      </c>
    </row>
    <row r="33">
      <c r="B33" s="59">
        <v>2.4301457E7</v>
      </c>
      <c r="C33" s="59" t="s">
        <v>153</v>
      </c>
      <c r="D33" s="51">
        <v>4.0</v>
      </c>
      <c r="E33" s="51">
        <v>7.0</v>
      </c>
      <c r="F33" s="51">
        <v>10.0</v>
      </c>
      <c r="G33" s="51">
        <v>7.0</v>
      </c>
      <c r="H33" s="51">
        <v>2.0</v>
      </c>
      <c r="I33" s="51">
        <v>7.5</v>
      </c>
      <c r="J33" s="52"/>
      <c r="K33" s="64"/>
      <c r="L33" s="75">
        <f t="shared" si="1"/>
        <v>37.5</v>
      </c>
      <c r="M33" s="65">
        <f t="shared" si="2"/>
        <v>26.25</v>
      </c>
    </row>
    <row r="34">
      <c r="B34" s="59">
        <v>2.4301467E7</v>
      </c>
      <c r="C34" s="59" t="s">
        <v>155</v>
      </c>
      <c r="D34" s="56">
        <v>4.75</v>
      </c>
      <c r="E34" s="38">
        <v>5.5</v>
      </c>
      <c r="F34" s="38">
        <v>10.0</v>
      </c>
      <c r="G34" s="56">
        <v>10.0</v>
      </c>
      <c r="H34" s="38">
        <v>3.0</v>
      </c>
      <c r="I34" s="38">
        <v>9.0</v>
      </c>
      <c r="J34" s="40"/>
      <c r="K34" s="64"/>
      <c r="L34" s="75">
        <f t="shared" si="1"/>
        <v>42.25</v>
      </c>
      <c r="M34" s="65">
        <f t="shared" si="2"/>
        <v>29.575</v>
      </c>
    </row>
    <row r="35">
      <c r="B35" s="59">
        <v>2.4301485E7</v>
      </c>
      <c r="C35" s="59" t="s">
        <v>157</v>
      </c>
      <c r="D35" s="51">
        <v>3.5</v>
      </c>
      <c r="E35" s="51">
        <v>8.5</v>
      </c>
      <c r="F35" s="51">
        <v>10.0</v>
      </c>
      <c r="G35" s="51">
        <v>9.75</v>
      </c>
      <c r="H35" s="51">
        <v>5.0</v>
      </c>
      <c r="I35" s="51">
        <v>7.5</v>
      </c>
      <c r="J35" s="52"/>
      <c r="K35" s="64"/>
      <c r="L35" s="75">
        <f t="shared" si="1"/>
        <v>44.25</v>
      </c>
      <c r="M35" s="65">
        <f t="shared" si="2"/>
        <v>30.975</v>
      </c>
    </row>
    <row r="36">
      <c r="B36" s="59">
        <v>2.4301504E7</v>
      </c>
      <c r="C36" s="59" t="s">
        <v>159</v>
      </c>
      <c r="D36" s="56">
        <v>4.5</v>
      </c>
      <c r="E36" s="38">
        <v>5.5</v>
      </c>
      <c r="F36" s="38">
        <v>10.0</v>
      </c>
      <c r="G36" s="56">
        <v>7.0</v>
      </c>
      <c r="H36" s="38">
        <v>3.0</v>
      </c>
      <c r="I36" s="38">
        <v>7.0</v>
      </c>
      <c r="J36" s="40"/>
      <c r="K36" s="64"/>
      <c r="L36" s="75">
        <f t="shared" si="1"/>
        <v>37</v>
      </c>
      <c r="M36" s="65">
        <f t="shared" si="2"/>
        <v>25.9</v>
      </c>
    </row>
    <row r="37">
      <c r="B37" s="59">
        <v>2.4301508E7</v>
      </c>
      <c r="C37" s="59" t="s">
        <v>161</v>
      </c>
      <c r="D37" s="51">
        <v>5.0</v>
      </c>
      <c r="E37" s="51">
        <v>9.5</v>
      </c>
      <c r="F37" s="51">
        <v>10.0</v>
      </c>
      <c r="G37" s="51">
        <v>10.0</v>
      </c>
      <c r="H37" s="51">
        <v>5.0</v>
      </c>
      <c r="I37" s="51">
        <v>6.5</v>
      </c>
      <c r="J37" s="52"/>
      <c r="K37" s="64"/>
      <c r="L37" s="75">
        <f t="shared" si="1"/>
        <v>46</v>
      </c>
      <c r="M37" s="65">
        <f t="shared" si="2"/>
        <v>32.2</v>
      </c>
    </row>
    <row r="38">
      <c r="B38" s="59">
        <v>2.4301527E7</v>
      </c>
      <c r="C38" s="59" t="s">
        <v>163</v>
      </c>
      <c r="D38" s="38">
        <v>2.5</v>
      </c>
      <c r="E38" s="38">
        <v>2.0</v>
      </c>
      <c r="F38" s="38">
        <v>10.0</v>
      </c>
      <c r="G38" s="38">
        <v>1.0</v>
      </c>
      <c r="H38" s="38">
        <v>3.0</v>
      </c>
      <c r="I38" s="38">
        <v>0.5</v>
      </c>
      <c r="J38" s="40"/>
      <c r="K38" s="64"/>
      <c r="L38" s="75">
        <f t="shared" si="1"/>
        <v>19</v>
      </c>
      <c r="M38" s="65">
        <f t="shared" si="2"/>
        <v>13.3</v>
      </c>
    </row>
    <row r="39">
      <c r="B39" s="59">
        <v>2.4301557E7</v>
      </c>
      <c r="C39" s="59" t="s">
        <v>165</v>
      </c>
      <c r="D39" s="51">
        <v>3.0</v>
      </c>
      <c r="E39" s="51">
        <v>9.5</v>
      </c>
      <c r="F39" s="51">
        <v>10.0</v>
      </c>
      <c r="G39" s="51">
        <v>10.0</v>
      </c>
      <c r="H39" s="51">
        <v>3.0</v>
      </c>
      <c r="I39" s="51">
        <v>8.0</v>
      </c>
      <c r="J39" s="52"/>
      <c r="K39" s="64"/>
      <c r="L39" s="75">
        <f t="shared" si="1"/>
        <v>43.5</v>
      </c>
      <c r="M39" s="65">
        <f t="shared" si="2"/>
        <v>30.45</v>
      </c>
    </row>
    <row r="40">
      <c r="B40" s="59">
        <v>2.4321205E7</v>
      </c>
      <c r="C40" s="59" t="s">
        <v>167</v>
      </c>
      <c r="D40" s="38">
        <v>2.5</v>
      </c>
      <c r="E40" s="38">
        <v>6.5</v>
      </c>
      <c r="F40" s="38">
        <v>10.0</v>
      </c>
      <c r="G40" s="38">
        <v>6.5</v>
      </c>
      <c r="H40" s="38">
        <v>1.0</v>
      </c>
      <c r="I40" s="56">
        <v>4.0</v>
      </c>
      <c r="J40" s="40"/>
      <c r="K40" s="64"/>
      <c r="L40" s="75">
        <f t="shared" si="1"/>
        <v>30.5</v>
      </c>
      <c r="M40" s="65">
        <f t="shared" si="2"/>
        <v>21.35</v>
      </c>
    </row>
    <row r="41">
      <c r="B41" s="59">
        <v>2.4341008E7</v>
      </c>
      <c r="C41" s="59" t="s">
        <v>169</v>
      </c>
      <c r="D41" s="51">
        <v>0.0</v>
      </c>
      <c r="E41" s="51">
        <v>1.5</v>
      </c>
      <c r="F41" s="51">
        <v>9.0</v>
      </c>
      <c r="G41" s="51">
        <v>4.0</v>
      </c>
      <c r="H41" s="51">
        <v>1.25</v>
      </c>
      <c r="I41" s="51">
        <v>5.0</v>
      </c>
      <c r="J41" s="52"/>
      <c r="K41" s="64"/>
      <c r="L41" s="75">
        <f t="shared" si="1"/>
        <v>20.75</v>
      </c>
      <c r="M41" s="65">
        <f t="shared" si="2"/>
        <v>14.525</v>
      </c>
    </row>
    <row r="42">
      <c r="B42" s="59">
        <v>2.4341017E7</v>
      </c>
      <c r="C42" s="59" t="s">
        <v>171</v>
      </c>
      <c r="D42" s="38">
        <v>5.0</v>
      </c>
      <c r="E42" s="38">
        <v>9.5</v>
      </c>
      <c r="F42" s="38">
        <v>10.0</v>
      </c>
      <c r="G42" s="38">
        <v>9.0</v>
      </c>
      <c r="H42" s="38">
        <v>5.0</v>
      </c>
      <c r="I42" s="38">
        <v>8.0</v>
      </c>
      <c r="J42" s="40"/>
      <c r="K42" s="64"/>
      <c r="L42" s="75">
        <f t="shared" si="1"/>
        <v>46.5</v>
      </c>
      <c r="M42" s="65">
        <f t="shared" si="2"/>
        <v>32.55</v>
      </c>
    </row>
    <row r="43">
      <c r="B43" s="59">
        <v>2.4341041E7</v>
      </c>
      <c r="C43" s="59" t="s">
        <v>173</v>
      </c>
      <c r="D43" s="51">
        <v>4.5</v>
      </c>
      <c r="E43" s="51">
        <v>6.0</v>
      </c>
      <c r="F43" s="51">
        <v>9.5</v>
      </c>
      <c r="G43" s="51">
        <v>9.0</v>
      </c>
      <c r="H43" s="51">
        <v>4.0</v>
      </c>
      <c r="I43" s="51">
        <v>4.5</v>
      </c>
      <c r="J43" s="52"/>
      <c r="K43" s="64"/>
      <c r="L43" s="75">
        <f t="shared" si="1"/>
        <v>37.5</v>
      </c>
      <c r="M43" s="65">
        <f t="shared" si="2"/>
        <v>26.25</v>
      </c>
    </row>
    <row r="44">
      <c r="B44" s="59">
        <v>2.4341053E7</v>
      </c>
      <c r="C44" s="59" t="s">
        <v>175</v>
      </c>
      <c r="D44" s="38">
        <v>1.0</v>
      </c>
      <c r="E44" s="38">
        <v>4.5</v>
      </c>
      <c r="F44" s="38">
        <v>10.0</v>
      </c>
      <c r="G44" s="38">
        <v>5.5</v>
      </c>
      <c r="H44" s="38">
        <v>4.0</v>
      </c>
      <c r="I44" s="38">
        <v>1.5</v>
      </c>
      <c r="J44" s="62"/>
      <c r="K44" s="64"/>
      <c r="L44" s="75">
        <f t="shared" si="1"/>
        <v>26.5</v>
      </c>
      <c r="M44" s="65">
        <f t="shared" si="2"/>
        <v>18.55</v>
      </c>
    </row>
    <row r="45">
      <c r="L45" s="83"/>
      <c r="M45" s="68"/>
    </row>
    <row r="46">
      <c r="L46" s="83"/>
      <c r="M46" s="68"/>
    </row>
    <row r="47">
      <c r="L47" s="83"/>
      <c r="M47" s="68"/>
    </row>
    <row r="48">
      <c r="L48" s="83"/>
      <c r="M48" s="68"/>
    </row>
    <row r="49">
      <c r="M49" s="68"/>
    </row>
    <row r="50">
      <c r="M50" s="68"/>
    </row>
    <row r="51">
      <c r="M51" s="68"/>
    </row>
    <row r="52">
      <c r="M52" s="68"/>
    </row>
    <row r="53">
      <c r="M53" s="68"/>
    </row>
    <row r="54">
      <c r="M54" s="68"/>
    </row>
    <row r="55">
      <c r="M55" s="68"/>
    </row>
    <row r="56">
      <c r="M56" s="68"/>
    </row>
    <row r="57">
      <c r="M57" s="68"/>
    </row>
    <row r="58">
      <c r="M58" s="68"/>
    </row>
    <row r="59">
      <c r="M59" s="68"/>
    </row>
    <row r="60">
      <c r="M60" s="68"/>
    </row>
    <row r="61">
      <c r="M61" s="68"/>
    </row>
    <row r="62">
      <c r="M62" s="68"/>
    </row>
    <row r="63">
      <c r="M63" s="68"/>
    </row>
    <row r="64">
      <c r="M64" s="68"/>
    </row>
    <row r="65">
      <c r="M65" s="68"/>
    </row>
    <row r="66">
      <c r="M66" s="68"/>
    </row>
    <row r="67">
      <c r="M67" s="68"/>
    </row>
    <row r="68">
      <c r="M68" s="68"/>
    </row>
    <row r="69">
      <c r="M69" s="68"/>
    </row>
    <row r="70">
      <c r="M70" s="68"/>
    </row>
    <row r="71">
      <c r="M71" s="68"/>
    </row>
    <row r="72">
      <c r="M72" s="68"/>
    </row>
    <row r="73">
      <c r="M73" s="68"/>
    </row>
    <row r="74">
      <c r="M74" s="68"/>
    </row>
    <row r="75">
      <c r="M75" s="68"/>
    </row>
    <row r="76">
      <c r="M76" s="68"/>
    </row>
    <row r="77">
      <c r="M77" s="68"/>
    </row>
    <row r="78">
      <c r="M78" s="68"/>
    </row>
    <row r="79">
      <c r="M79" s="68"/>
    </row>
    <row r="80">
      <c r="M80" s="68"/>
    </row>
    <row r="81">
      <c r="M81" s="68"/>
    </row>
    <row r="82">
      <c r="M82" s="68"/>
    </row>
    <row r="83">
      <c r="M83" s="68"/>
    </row>
    <row r="84">
      <c r="M84" s="68"/>
    </row>
    <row r="85">
      <c r="M85" s="68"/>
    </row>
    <row r="86">
      <c r="M86" s="68"/>
    </row>
    <row r="87">
      <c r="M87" s="68"/>
    </row>
    <row r="88">
      <c r="M88" s="68"/>
    </row>
    <row r="89">
      <c r="M89" s="68"/>
    </row>
    <row r="90">
      <c r="M90" s="68"/>
    </row>
    <row r="91">
      <c r="M91" s="68"/>
    </row>
    <row r="92">
      <c r="M92" s="68"/>
    </row>
    <row r="93">
      <c r="M93" s="68"/>
    </row>
    <row r="94">
      <c r="M94" s="68"/>
    </row>
    <row r="95">
      <c r="M95" s="68"/>
    </row>
    <row r="96">
      <c r="M96" s="68"/>
    </row>
    <row r="97">
      <c r="M97" s="68"/>
    </row>
    <row r="98">
      <c r="M98" s="68"/>
    </row>
    <row r="99">
      <c r="M99" s="68"/>
    </row>
    <row r="100">
      <c r="M100" s="68"/>
    </row>
    <row r="101">
      <c r="M101" s="68"/>
    </row>
    <row r="102">
      <c r="M102" s="68"/>
    </row>
    <row r="103">
      <c r="M103" s="68"/>
    </row>
    <row r="104">
      <c r="M104" s="68"/>
    </row>
    <row r="105">
      <c r="M105" s="68"/>
    </row>
    <row r="106">
      <c r="M106" s="68"/>
    </row>
    <row r="107">
      <c r="M107" s="68"/>
    </row>
    <row r="108">
      <c r="M108" s="68"/>
    </row>
    <row r="109">
      <c r="M109" s="68"/>
    </row>
    <row r="110">
      <c r="M110" s="68"/>
    </row>
    <row r="111">
      <c r="M111" s="68"/>
    </row>
    <row r="112">
      <c r="M112" s="68"/>
    </row>
    <row r="113">
      <c r="M113" s="68"/>
    </row>
    <row r="114">
      <c r="M114" s="68"/>
    </row>
    <row r="115">
      <c r="M115" s="68"/>
    </row>
    <row r="116">
      <c r="M116" s="68"/>
    </row>
    <row r="117">
      <c r="M117" s="68"/>
    </row>
    <row r="118">
      <c r="M118" s="68"/>
    </row>
    <row r="119">
      <c r="M119" s="68"/>
    </row>
    <row r="120">
      <c r="M120" s="68"/>
    </row>
    <row r="121">
      <c r="M121" s="68"/>
    </row>
    <row r="122">
      <c r="M122" s="68"/>
    </row>
    <row r="123">
      <c r="M123" s="68"/>
    </row>
    <row r="124">
      <c r="M124" s="68"/>
    </row>
    <row r="125">
      <c r="M125" s="68"/>
    </row>
    <row r="126">
      <c r="M126" s="68"/>
    </row>
    <row r="127">
      <c r="M127" s="68"/>
    </row>
    <row r="128">
      <c r="M128" s="68"/>
    </row>
    <row r="129">
      <c r="M129" s="68"/>
    </row>
    <row r="130">
      <c r="M130" s="68"/>
    </row>
    <row r="131">
      <c r="M131" s="68"/>
    </row>
    <row r="132">
      <c r="M132" s="68"/>
    </row>
    <row r="133">
      <c r="M133" s="68"/>
    </row>
    <row r="134">
      <c r="M134" s="68"/>
    </row>
    <row r="135">
      <c r="M135" s="68"/>
    </row>
    <row r="136">
      <c r="M136" s="68"/>
    </row>
    <row r="137">
      <c r="M137" s="68"/>
    </row>
    <row r="138">
      <c r="M138" s="68"/>
    </row>
    <row r="139">
      <c r="M139" s="68"/>
    </row>
    <row r="140">
      <c r="M140" s="68"/>
    </row>
    <row r="141">
      <c r="M141" s="68"/>
    </row>
    <row r="142">
      <c r="M142" s="68"/>
    </row>
    <row r="143">
      <c r="M143" s="68"/>
    </row>
    <row r="144">
      <c r="M144" s="68"/>
    </row>
    <row r="145">
      <c r="M145" s="68"/>
    </row>
    <row r="146">
      <c r="M146" s="68"/>
    </row>
    <row r="147">
      <c r="M147" s="68"/>
    </row>
    <row r="148">
      <c r="M148" s="68"/>
    </row>
    <row r="149">
      <c r="M149" s="68"/>
    </row>
    <row r="150">
      <c r="M150" s="68"/>
    </row>
    <row r="151">
      <c r="M151" s="68"/>
    </row>
    <row r="152">
      <c r="M152" s="68"/>
    </row>
    <row r="153">
      <c r="M153" s="68"/>
    </row>
    <row r="154">
      <c r="M154" s="68"/>
    </row>
    <row r="155">
      <c r="M155" s="68"/>
    </row>
    <row r="156">
      <c r="M156" s="68"/>
    </row>
    <row r="157">
      <c r="M157" s="68"/>
    </row>
    <row r="158">
      <c r="M158" s="68"/>
    </row>
    <row r="159">
      <c r="M159" s="68"/>
    </row>
    <row r="160">
      <c r="M160" s="68"/>
    </row>
    <row r="161">
      <c r="M161" s="68"/>
    </row>
    <row r="162">
      <c r="M162" s="68"/>
    </row>
    <row r="163">
      <c r="M163" s="68"/>
    </row>
    <row r="164">
      <c r="M164" s="68"/>
    </row>
    <row r="165">
      <c r="M165" s="68"/>
    </row>
    <row r="166">
      <c r="M166" s="68"/>
    </row>
    <row r="167">
      <c r="M167" s="68"/>
    </row>
    <row r="168">
      <c r="M168" s="68"/>
    </row>
    <row r="169">
      <c r="M169" s="68"/>
    </row>
    <row r="170">
      <c r="M170" s="68"/>
    </row>
    <row r="171">
      <c r="M171" s="68"/>
    </row>
    <row r="172">
      <c r="M172" s="68"/>
    </row>
    <row r="173">
      <c r="M173" s="68"/>
    </row>
    <row r="174">
      <c r="M174" s="68"/>
    </row>
    <row r="175">
      <c r="M175" s="68"/>
    </row>
    <row r="176">
      <c r="M176" s="68"/>
    </row>
    <row r="177">
      <c r="M177" s="68"/>
    </row>
    <row r="178">
      <c r="M178" s="68"/>
    </row>
    <row r="179">
      <c r="M179" s="68"/>
    </row>
    <row r="180">
      <c r="M180" s="68"/>
    </row>
    <row r="181">
      <c r="M181" s="68"/>
    </row>
    <row r="182">
      <c r="M182" s="68"/>
    </row>
    <row r="183">
      <c r="M183" s="68"/>
    </row>
    <row r="184">
      <c r="M184" s="68"/>
    </row>
    <row r="185">
      <c r="M185" s="68"/>
    </row>
    <row r="186">
      <c r="M186" s="68"/>
    </row>
    <row r="187">
      <c r="M187" s="68"/>
    </row>
    <row r="188">
      <c r="M188" s="68"/>
    </row>
    <row r="189">
      <c r="M189" s="68"/>
    </row>
    <row r="190">
      <c r="M190" s="68"/>
    </row>
    <row r="191">
      <c r="M191" s="68"/>
    </row>
    <row r="192">
      <c r="M192" s="68"/>
    </row>
    <row r="193">
      <c r="M193" s="68"/>
    </row>
    <row r="194">
      <c r="M194" s="68"/>
    </row>
    <row r="195">
      <c r="M195" s="68"/>
    </row>
    <row r="196">
      <c r="M196" s="68"/>
    </row>
    <row r="197">
      <c r="M197" s="68"/>
    </row>
    <row r="198">
      <c r="M198" s="68"/>
    </row>
    <row r="199">
      <c r="M199" s="68"/>
    </row>
    <row r="200">
      <c r="M200" s="68"/>
    </row>
    <row r="201">
      <c r="M201" s="68"/>
    </row>
    <row r="202">
      <c r="M202" s="68"/>
    </row>
    <row r="203">
      <c r="M203" s="68"/>
    </row>
    <row r="204">
      <c r="M204" s="68"/>
    </row>
    <row r="205">
      <c r="M205" s="68"/>
    </row>
    <row r="206">
      <c r="M206" s="68"/>
    </row>
    <row r="207">
      <c r="M207" s="68"/>
    </row>
    <row r="208">
      <c r="M208" s="68"/>
    </row>
    <row r="209">
      <c r="M209" s="68"/>
    </row>
    <row r="210">
      <c r="M210" s="68"/>
    </row>
    <row r="211">
      <c r="M211" s="68"/>
    </row>
    <row r="212">
      <c r="M212" s="68"/>
    </row>
    <row r="213">
      <c r="M213" s="68"/>
    </row>
    <row r="214">
      <c r="M214" s="68"/>
    </row>
    <row r="215">
      <c r="M215" s="68"/>
    </row>
    <row r="216">
      <c r="M216" s="68"/>
    </row>
    <row r="217">
      <c r="M217" s="68"/>
    </row>
    <row r="218">
      <c r="M218" s="68"/>
    </row>
    <row r="219">
      <c r="M219" s="68"/>
    </row>
    <row r="220">
      <c r="M220" s="68"/>
    </row>
    <row r="221">
      <c r="M221" s="68"/>
    </row>
    <row r="222">
      <c r="M222" s="68"/>
    </row>
    <row r="223">
      <c r="M223" s="68"/>
    </row>
    <row r="224">
      <c r="M224" s="68"/>
    </row>
    <row r="225">
      <c r="M225" s="68"/>
    </row>
    <row r="226">
      <c r="M226" s="68"/>
    </row>
    <row r="227">
      <c r="M227" s="68"/>
    </row>
    <row r="228">
      <c r="M228" s="68"/>
    </row>
    <row r="229">
      <c r="M229" s="68"/>
    </row>
    <row r="230">
      <c r="M230" s="68"/>
    </row>
    <row r="231">
      <c r="M231" s="68"/>
    </row>
    <row r="232">
      <c r="M232" s="68"/>
    </row>
    <row r="233">
      <c r="M233" s="68"/>
    </row>
    <row r="234">
      <c r="M234" s="68"/>
    </row>
    <row r="235">
      <c r="M235" s="68"/>
    </row>
    <row r="236">
      <c r="M236" s="68"/>
    </row>
    <row r="237">
      <c r="M237" s="68"/>
    </row>
    <row r="238">
      <c r="M238" s="68"/>
    </row>
    <row r="239">
      <c r="M239" s="68"/>
    </row>
    <row r="240">
      <c r="M240" s="68"/>
    </row>
    <row r="241">
      <c r="M241" s="68"/>
    </row>
    <row r="242">
      <c r="M242" s="68"/>
    </row>
    <row r="243">
      <c r="M243" s="68"/>
    </row>
    <row r="244">
      <c r="M244" s="68"/>
    </row>
    <row r="245">
      <c r="M245" s="68"/>
    </row>
    <row r="246">
      <c r="M246" s="68"/>
    </row>
    <row r="247">
      <c r="M247" s="68"/>
    </row>
    <row r="248">
      <c r="M248" s="68"/>
    </row>
    <row r="249">
      <c r="M249" s="68"/>
    </row>
    <row r="250">
      <c r="M250" s="68"/>
    </row>
    <row r="251">
      <c r="M251" s="68"/>
    </row>
    <row r="252">
      <c r="M252" s="68"/>
    </row>
    <row r="253">
      <c r="M253" s="68"/>
    </row>
    <row r="254">
      <c r="M254" s="68"/>
    </row>
    <row r="255">
      <c r="M255" s="68"/>
    </row>
    <row r="256">
      <c r="M256" s="68"/>
    </row>
    <row r="257">
      <c r="M257" s="68"/>
    </row>
    <row r="258">
      <c r="M258" s="68"/>
    </row>
    <row r="259">
      <c r="M259" s="68"/>
    </row>
    <row r="260">
      <c r="M260" s="68"/>
    </row>
    <row r="261">
      <c r="M261" s="68"/>
    </row>
    <row r="262">
      <c r="M262" s="68"/>
    </row>
    <row r="263">
      <c r="M263" s="68"/>
    </row>
    <row r="264">
      <c r="M264" s="68"/>
    </row>
    <row r="265">
      <c r="M265" s="68"/>
    </row>
    <row r="266">
      <c r="M266" s="68"/>
    </row>
    <row r="267">
      <c r="M267" s="68"/>
    </row>
    <row r="268">
      <c r="M268" s="68"/>
    </row>
    <row r="269">
      <c r="M269" s="68"/>
    </row>
    <row r="270">
      <c r="M270" s="68"/>
    </row>
    <row r="271">
      <c r="M271" s="68"/>
    </row>
    <row r="272">
      <c r="M272" s="68"/>
    </row>
    <row r="273">
      <c r="M273" s="68"/>
    </row>
    <row r="274">
      <c r="M274" s="68"/>
    </row>
    <row r="275">
      <c r="M275" s="68"/>
    </row>
    <row r="276">
      <c r="M276" s="68"/>
    </row>
    <row r="277">
      <c r="M277" s="68"/>
    </row>
    <row r="278">
      <c r="M278" s="68"/>
    </row>
    <row r="279">
      <c r="M279" s="68"/>
    </row>
    <row r="280">
      <c r="M280" s="68"/>
    </row>
    <row r="281">
      <c r="M281" s="68"/>
    </row>
    <row r="282">
      <c r="M282" s="68"/>
    </row>
    <row r="283">
      <c r="M283" s="68"/>
    </row>
    <row r="284">
      <c r="M284" s="68"/>
    </row>
    <row r="285">
      <c r="M285" s="68"/>
    </row>
    <row r="286">
      <c r="M286" s="68"/>
    </row>
    <row r="287">
      <c r="M287" s="68"/>
    </row>
    <row r="288">
      <c r="M288" s="68"/>
    </row>
    <row r="289">
      <c r="M289" s="68"/>
    </row>
    <row r="290">
      <c r="M290" s="68"/>
    </row>
    <row r="291">
      <c r="M291" s="68"/>
    </row>
    <row r="292">
      <c r="M292" s="68"/>
    </row>
    <row r="293">
      <c r="M293" s="68"/>
    </row>
    <row r="294">
      <c r="M294" s="68"/>
    </row>
    <row r="295">
      <c r="M295" s="68"/>
    </row>
    <row r="296">
      <c r="M296" s="68"/>
    </row>
    <row r="297">
      <c r="M297" s="68"/>
    </row>
    <row r="298">
      <c r="M298" s="68"/>
    </row>
    <row r="299">
      <c r="M299" s="68"/>
    </row>
    <row r="300">
      <c r="M300" s="68"/>
    </row>
    <row r="301">
      <c r="M301" s="68"/>
    </row>
    <row r="302">
      <c r="M302" s="68"/>
    </row>
    <row r="303">
      <c r="M303" s="68"/>
    </row>
    <row r="304">
      <c r="M304" s="68"/>
    </row>
    <row r="305">
      <c r="M305" s="68"/>
    </row>
    <row r="306">
      <c r="M306" s="68"/>
    </row>
    <row r="307">
      <c r="M307" s="68"/>
    </row>
    <row r="308">
      <c r="M308" s="68"/>
    </row>
    <row r="309">
      <c r="M309" s="68"/>
    </row>
    <row r="310">
      <c r="M310" s="68"/>
    </row>
    <row r="311">
      <c r="M311" s="68"/>
    </row>
    <row r="312">
      <c r="M312" s="68"/>
    </row>
    <row r="313">
      <c r="M313" s="68"/>
    </row>
    <row r="314">
      <c r="M314" s="68"/>
    </row>
    <row r="315">
      <c r="M315" s="68"/>
    </row>
    <row r="316">
      <c r="M316" s="68"/>
    </row>
    <row r="317">
      <c r="M317" s="68"/>
    </row>
    <row r="318">
      <c r="M318" s="68"/>
    </row>
    <row r="319">
      <c r="M319" s="68"/>
    </row>
    <row r="320">
      <c r="M320" s="68"/>
    </row>
    <row r="321">
      <c r="M321" s="68"/>
    </row>
    <row r="322">
      <c r="M322" s="68"/>
    </row>
    <row r="323">
      <c r="M323" s="68"/>
    </row>
    <row r="324">
      <c r="M324" s="68"/>
    </row>
    <row r="325">
      <c r="M325" s="68"/>
    </row>
    <row r="326">
      <c r="M326" s="68"/>
    </row>
    <row r="327">
      <c r="M327" s="68"/>
    </row>
    <row r="328">
      <c r="M328" s="68"/>
    </row>
    <row r="329">
      <c r="M329" s="68"/>
    </row>
    <row r="330">
      <c r="M330" s="68"/>
    </row>
    <row r="331">
      <c r="M331" s="68"/>
    </row>
    <row r="332">
      <c r="M332" s="68"/>
    </row>
    <row r="333">
      <c r="M333" s="68"/>
    </row>
    <row r="334">
      <c r="M334" s="68"/>
    </row>
    <row r="335">
      <c r="M335" s="68"/>
    </row>
    <row r="336">
      <c r="M336" s="68"/>
    </row>
    <row r="337">
      <c r="M337" s="68"/>
    </row>
    <row r="338">
      <c r="M338" s="68"/>
    </row>
    <row r="339">
      <c r="M339" s="68"/>
    </row>
    <row r="340">
      <c r="M340" s="68"/>
    </row>
    <row r="341">
      <c r="M341" s="68"/>
    </row>
    <row r="342">
      <c r="M342" s="68"/>
    </row>
    <row r="343">
      <c r="M343" s="68"/>
    </row>
    <row r="344">
      <c r="M344" s="68"/>
    </row>
    <row r="345">
      <c r="M345" s="68"/>
    </row>
    <row r="346">
      <c r="M346" s="68"/>
    </row>
    <row r="347">
      <c r="M347" s="68"/>
    </row>
    <row r="348">
      <c r="M348" s="68"/>
    </row>
    <row r="349">
      <c r="M349" s="68"/>
    </row>
    <row r="350">
      <c r="M350" s="68"/>
    </row>
    <row r="351">
      <c r="M351" s="68"/>
    </row>
    <row r="352">
      <c r="M352" s="68"/>
    </row>
    <row r="353">
      <c r="M353" s="68"/>
    </row>
    <row r="354">
      <c r="M354" s="68"/>
    </row>
    <row r="355">
      <c r="M355" s="68"/>
    </row>
    <row r="356">
      <c r="M356" s="68"/>
    </row>
    <row r="357">
      <c r="M357" s="68"/>
    </row>
    <row r="358">
      <c r="M358" s="68"/>
    </row>
    <row r="359">
      <c r="M359" s="68"/>
    </row>
    <row r="360">
      <c r="M360" s="68"/>
    </row>
    <row r="361">
      <c r="M361" s="68"/>
    </row>
    <row r="362">
      <c r="M362" s="68"/>
    </row>
    <row r="363">
      <c r="M363" s="68"/>
    </row>
    <row r="364">
      <c r="M364" s="68"/>
    </row>
    <row r="365">
      <c r="M365" s="68"/>
    </row>
    <row r="366">
      <c r="M366" s="68"/>
    </row>
    <row r="367">
      <c r="M367" s="68"/>
    </row>
    <row r="368">
      <c r="M368" s="68"/>
    </row>
    <row r="369">
      <c r="M369" s="68"/>
    </row>
    <row r="370">
      <c r="M370" s="68"/>
    </row>
    <row r="371">
      <c r="M371" s="68"/>
    </row>
    <row r="372">
      <c r="M372" s="68"/>
    </row>
    <row r="373">
      <c r="M373" s="68"/>
    </row>
    <row r="374">
      <c r="M374" s="68"/>
    </row>
    <row r="375">
      <c r="M375" s="68"/>
    </row>
    <row r="376">
      <c r="M376" s="68"/>
    </row>
    <row r="377">
      <c r="M377" s="68"/>
    </row>
    <row r="378">
      <c r="M378" s="68"/>
    </row>
    <row r="379">
      <c r="M379" s="68"/>
    </row>
    <row r="380">
      <c r="M380" s="68"/>
    </row>
    <row r="381">
      <c r="M381" s="68"/>
    </row>
    <row r="382">
      <c r="M382" s="68"/>
    </row>
    <row r="383">
      <c r="M383" s="68"/>
    </row>
    <row r="384">
      <c r="M384" s="68"/>
    </row>
    <row r="385">
      <c r="M385" s="68"/>
    </row>
    <row r="386">
      <c r="M386" s="68"/>
    </row>
    <row r="387">
      <c r="M387" s="68"/>
    </row>
    <row r="388">
      <c r="M388" s="68"/>
    </row>
    <row r="389">
      <c r="M389" s="68"/>
    </row>
    <row r="390">
      <c r="M390" s="68"/>
    </row>
    <row r="391">
      <c r="M391" s="68"/>
    </row>
    <row r="392">
      <c r="M392" s="68"/>
    </row>
    <row r="393">
      <c r="M393" s="68"/>
    </row>
    <row r="394">
      <c r="M394" s="68"/>
    </row>
    <row r="395">
      <c r="M395" s="68"/>
    </row>
    <row r="396">
      <c r="M396" s="68"/>
    </row>
    <row r="397">
      <c r="M397" s="68"/>
    </row>
    <row r="398">
      <c r="M398" s="68"/>
    </row>
    <row r="399">
      <c r="M399" s="68"/>
    </row>
    <row r="400">
      <c r="M400" s="68"/>
    </row>
    <row r="401">
      <c r="M401" s="68"/>
    </row>
    <row r="402">
      <c r="M402" s="68"/>
    </row>
    <row r="403">
      <c r="M403" s="68"/>
    </row>
    <row r="404">
      <c r="M404" s="68"/>
    </row>
    <row r="405">
      <c r="M405" s="68"/>
    </row>
    <row r="406">
      <c r="M406" s="68"/>
    </row>
    <row r="407">
      <c r="M407" s="68"/>
    </row>
    <row r="408">
      <c r="M408" s="68"/>
    </row>
    <row r="409">
      <c r="M409" s="68"/>
    </row>
    <row r="410">
      <c r="M410" s="68"/>
    </row>
    <row r="411">
      <c r="M411" s="68"/>
    </row>
    <row r="412">
      <c r="M412" s="68"/>
    </row>
    <row r="413">
      <c r="M413" s="68"/>
    </row>
    <row r="414">
      <c r="M414" s="68"/>
    </row>
    <row r="415">
      <c r="M415" s="68"/>
    </row>
    <row r="416">
      <c r="M416" s="68"/>
    </row>
    <row r="417">
      <c r="M417" s="68"/>
    </row>
    <row r="418">
      <c r="M418" s="68"/>
    </row>
    <row r="419">
      <c r="M419" s="68"/>
    </row>
    <row r="420">
      <c r="M420" s="68"/>
    </row>
    <row r="421">
      <c r="M421" s="68"/>
    </row>
    <row r="422">
      <c r="M422" s="68"/>
    </row>
    <row r="423">
      <c r="M423" s="68"/>
    </row>
    <row r="424">
      <c r="M424" s="68"/>
    </row>
    <row r="425">
      <c r="M425" s="68"/>
    </row>
    <row r="426">
      <c r="M426" s="68"/>
    </row>
    <row r="427">
      <c r="M427" s="68"/>
    </row>
    <row r="428">
      <c r="M428" s="68"/>
    </row>
    <row r="429">
      <c r="M429" s="68"/>
    </row>
    <row r="430">
      <c r="M430" s="68"/>
    </row>
    <row r="431">
      <c r="M431" s="68"/>
    </row>
    <row r="432">
      <c r="M432" s="68"/>
    </row>
    <row r="433">
      <c r="M433" s="68"/>
    </row>
    <row r="434">
      <c r="M434" s="68"/>
    </row>
    <row r="435">
      <c r="M435" s="68"/>
    </row>
    <row r="436">
      <c r="M436" s="68"/>
    </row>
    <row r="437">
      <c r="M437" s="68"/>
    </row>
    <row r="438">
      <c r="M438" s="68"/>
    </row>
    <row r="439">
      <c r="M439" s="68"/>
    </row>
    <row r="440">
      <c r="M440" s="68"/>
    </row>
    <row r="441">
      <c r="M441" s="68"/>
    </row>
    <row r="442">
      <c r="M442" s="68"/>
    </row>
    <row r="443">
      <c r="M443" s="68"/>
    </row>
    <row r="444">
      <c r="M444" s="68"/>
    </row>
    <row r="445">
      <c r="M445" s="68"/>
    </row>
    <row r="446">
      <c r="M446" s="68"/>
    </row>
    <row r="447">
      <c r="M447" s="68"/>
    </row>
    <row r="448">
      <c r="M448" s="68"/>
    </row>
    <row r="449">
      <c r="M449" s="68"/>
    </row>
    <row r="450">
      <c r="M450" s="68"/>
    </row>
    <row r="451">
      <c r="M451" s="68"/>
    </row>
    <row r="452">
      <c r="M452" s="68"/>
    </row>
    <row r="453">
      <c r="M453" s="68"/>
    </row>
    <row r="454">
      <c r="M454" s="68"/>
    </row>
    <row r="455">
      <c r="M455" s="68"/>
    </row>
    <row r="456">
      <c r="M456" s="68"/>
    </row>
    <row r="457">
      <c r="M457" s="68"/>
    </row>
    <row r="458">
      <c r="M458" s="68"/>
    </row>
    <row r="459">
      <c r="M459" s="68"/>
    </row>
    <row r="460">
      <c r="M460" s="68"/>
    </row>
    <row r="461">
      <c r="M461" s="68"/>
    </row>
    <row r="462">
      <c r="M462" s="68"/>
    </row>
    <row r="463">
      <c r="M463" s="68"/>
    </row>
    <row r="464">
      <c r="M464" s="68"/>
    </row>
    <row r="465">
      <c r="M465" s="68"/>
    </row>
    <row r="466">
      <c r="M466" s="68"/>
    </row>
    <row r="467">
      <c r="M467" s="68"/>
    </row>
    <row r="468">
      <c r="M468" s="68"/>
    </row>
    <row r="469">
      <c r="M469" s="68"/>
    </row>
    <row r="470">
      <c r="M470" s="68"/>
    </row>
    <row r="471">
      <c r="M471" s="68"/>
    </row>
    <row r="472">
      <c r="M472" s="68"/>
    </row>
    <row r="473">
      <c r="M473" s="68"/>
    </row>
    <row r="474">
      <c r="M474" s="68"/>
    </row>
    <row r="475">
      <c r="M475" s="68"/>
    </row>
    <row r="476">
      <c r="M476" s="68"/>
    </row>
    <row r="477">
      <c r="M477" s="68"/>
    </row>
    <row r="478">
      <c r="M478" s="68"/>
    </row>
    <row r="479">
      <c r="M479" s="68"/>
    </row>
    <row r="480">
      <c r="M480" s="68"/>
    </row>
    <row r="481">
      <c r="M481" s="68"/>
    </row>
    <row r="482">
      <c r="M482" s="68"/>
    </row>
    <row r="483">
      <c r="M483" s="68"/>
    </row>
    <row r="484">
      <c r="M484" s="68"/>
    </row>
    <row r="485">
      <c r="M485" s="68"/>
    </row>
    <row r="486">
      <c r="M486" s="68"/>
    </row>
    <row r="487">
      <c r="M487" s="68"/>
    </row>
    <row r="488">
      <c r="M488" s="68"/>
    </row>
    <row r="489">
      <c r="M489" s="68"/>
    </row>
    <row r="490">
      <c r="M490" s="68"/>
    </row>
    <row r="491">
      <c r="M491" s="68"/>
    </row>
    <row r="492">
      <c r="M492" s="68"/>
    </row>
    <row r="493">
      <c r="M493" s="68"/>
    </row>
    <row r="494">
      <c r="M494" s="68"/>
    </row>
    <row r="495">
      <c r="M495" s="68"/>
    </row>
    <row r="496">
      <c r="M496" s="68"/>
    </row>
    <row r="497">
      <c r="M497" s="68"/>
    </row>
    <row r="498">
      <c r="M498" s="68"/>
    </row>
    <row r="499">
      <c r="M499" s="68"/>
    </row>
    <row r="500">
      <c r="M500" s="68"/>
    </row>
    <row r="501">
      <c r="M501" s="68"/>
    </row>
    <row r="502">
      <c r="M502" s="68"/>
    </row>
    <row r="503">
      <c r="M503" s="68"/>
    </row>
    <row r="504">
      <c r="M504" s="68"/>
    </row>
    <row r="505">
      <c r="M505" s="68"/>
    </row>
    <row r="506">
      <c r="M506" s="68"/>
    </row>
    <row r="507">
      <c r="M507" s="68"/>
    </row>
    <row r="508">
      <c r="M508" s="68"/>
    </row>
    <row r="509">
      <c r="M509" s="68"/>
    </row>
    <row r="510">
      <c r="M510" s="68"/>
    </row>
    <row r="511">
      <c r="M511" s="68"/>
    </row>
    <row r="512">
      <c r="M512" s="68"/>
    </row>
    <row r="513">
      <c r="M513" s="68"/>
    </row>
    <row r="514">
      <c r="M514" s="68"/>
    </row>
    <row r="515">
      <c r="M515" s="68"/>
    </row>
    <row r="516">
      <c r="M516" s="68"/>
    </row>
    <row r="517">
      <c r="M517" s="68"/>
    </row>
    <row r="518">
      <c r="M518" s="68"/>
    </row>
    <row r="519">
      <c r="M519" s="68"/>
    </row>
    <row r="520">
      <c r="M520" s="68"/>
    </row>
    <row r="521">
      <c r="M521" s="68"/>
    </row>
    <row r="522">
      <c r="M522" s="68"/>
    </row>
    <row r="523">
      <c r="M523" s="68"/>
    </row>
    <row r="524">
      <c r="M524" s="68"/>
    </row>
    <row r="525">
      <c r="M525" s="68"/>
    </row>
    <row r="526">
      <c r="M526" s="68"/>
    </row>
    <row r="527">
      <c r="M527" s="68"/>
    </row>
    <row r="528">
      <c r="M528" s="68"/>
    </row>
    <row r="529">
      <c r="M529" s="68"/>
    </row>
    <row r="530">
      <c r="M530" s="68"/>
    </row>
    <row r="531">
      <c r="M531" s="68"/>
    </row>
    <row r="532">
      <c r="M532" s="68"/>
    </row>
    <row r="533">
      <c r="M533" s="68"/>
    </row>
    <row r="534">
      <c r="M534" s="68"/>
    </row>
    <row r="535">
      <c r="M535" s="68"/>
    </row>
    <row r="536">
      <c r="M536" s="68"/>
    </row>
    <row r="537">
      <c r="M537" s="68"/>
    </row>
    <row r="538">
      <c r="M538" s="68"/>
    </row>
    <row r="539">
      <c r="M539" s="68"/>
    </row>
    <row r="540">
      <c r="M540" s="68"/>
    </row>
    <row r="541">
      <c r="M541" s="68"/>
    </row>
    <row r="542">
      <c r="M542" s="68"/>
    </row>
    <row r="543">
      <c r="M543" s="68"/>
    </row>
    <row r="544">
      <c r="M544" s="68"/>
    </row>
    <row r="545">
      <c r="M545" s="68"/>
    </row>
    <row r="546">
      <c r="M546" s="68"/>
    </row>
    <row r="547">
      <c r="M547" s="68"/>
    </row>
    <row r="548">
      <c r="M548" s="68"/>
    </row>
    <row r="549">
      <c r="M549" s="68"/>
    </row>
    <row r="550">
      <c r="M550" s="68"/>
    </row>
    <row r="551">
      <c r="M551" s="68"/>
    </row>
    <row r="552">
      <c r="M552" s="68"/>
    </row>
    <row r="553">
      <c r="M553" s="68"/>
    </row>
    <row r="554">
      <c r="M554" s="68"/>
    </row>
    <row r="555">
      <c r="M555" s="68"/>
    </row>
    <row r="556">
      <c r="M556" s="68"/>
    </row>
    <row r="557">
      <c r="M557" s="68"/>
    </row>
    <row r="558">
      <c r="M558" s="68"/>
    </row>
    <row r="559">
      <c r="M559" s="68"/>
    </row>
    <row r="560">
      <c r="M560" s="68"/>
    </row>
    <row r="561">
      <c r="M561" s="68"/>
    </row>
    <row r="562">
      <c r="M562" s="68"/>
    </row>
    <row r="563">
      <c r="M563" s="68"/>
    </row>
    <row r="564">
      <c r="M564" s="68"/>
    </row>
    <row r="565">
      <c r="M565" s="68"/>
    </row>
    <row r="566">
      <c r="M566" s="68"/>
    </row>
    <row r="567">
      <c r="M567" s="68"/>
    </row>
    <row r="568">
      <c r="M568" s="68"/>
    </row>
    <row r="569">
      <c r="M569" s="68"/>
    </row>
    <row r="570">
      <c r="M570" s="68"/>
    </row>
    <row r="571">
      <c r="M571" s="68"/>
    </row>
    <row r="572">
      <c r="M572" s="68"/>
    </row>
    <row r="573">
      <c r="M573" s="68"/>
    </row>
    <row r="574">
      <c r="M574" s="68"/>
    </row>
    <row r="575">
      <c r="M575" s="68"/>
    </row>
    <row r="576">
      <c r="M576" s="68"/>
    </row>
    <row r="577">
      <c r="M577" s="68"/>
    </row>
    <row r="578">
      <c r="M578" s="68"/>
    </row>
    <row r="579">
      <c r="M579" s="68"/>
    </row>
    <row r="580">
      <c r="M580" s="68"/>
    </row>
    <row r="581">
      <c r="M581" s="68"/>
    </row>
    <row r="582">
      <c r="M582" s="68"/>
    </row>
    <row r="583">
      <c r="M583" s="68"/>
    </row>
    <row r="584">
      <c r="M584" s="68"/>
    </row>
    <row r="585">
      <c r="M585" s="68"/>
    </row>
    <row r="586">
      <c r="M586" s="68"/>
    </row>
    <row r="587">
      <c r="M587" s="68"/>
    </row>
    <row r="588">
      <c r="M588" s="68"/>
    </row>
    <row r="589">
      <c r="M589" s="68"/>
    </row>
    <row r="590">
      <c r="M590" s="68"/>
    </row>
    <row r="591">
      <c r="M591" s="68"/>
    </row>
    <row r="592">
      <c r="M592" s="68"/>
    </row>
    <row r="593">
      <c r="M593" s="68"/>
    </row>
    <row r="594">
      <c r="M594" s="68"/>
    </row>
    <row r="595">
      <c r="M595" s="68"/>
    </row>
    <row r="596">
      <c r="M596" s="68"/>
    </row>
    <row r="597">
      <c r="M597" s="68"/>
    </row>
    <row r="598">
      <c r="M598" s="68"/>
    </row>
    <row r="599">
      <c r="M599" s="68"/>
    </row>
    <row r="600">
      <c r="M600" s="68"/>
    </row>
    <row r="601">
      <c r="M601" s="68"/>
    </row>
    <row r="602">
      <c r="M602" s="68"/>
    </row>
    <row r="603">
      <c r="M603" s="68"/>
    </row>
    <row r="604">
      <c r="M604" s="68"/>
    </row>
    <row r="605">
      <c r="M605" s="68"/>
    </row>
    <row r="606">
      <c r="M606" s="68"/>
    </row>
    <row r="607">
      <c r="M607" s="68"/>
    </row>
    <row r="608">
      <c r="M608" s="68"/>
    </row>
    <row r="609">
      <c r="M609" s="68"/>
    </row>
    <row r="610">
      <c r="M610" s="68"/>
    </row>
    <row r="611">
      <c r="M611" s="68"/>
    </row>
    <row r="612">
      <c r="M612" s="68"/>
    </row>
    <row r="613">
      <c r="M613" s="68"/>
    </row>
    <row r="614">
      <c r="M614" s="68"/>
    </row>
    <row r="615">
      <c r="M615" s="68"/>
    </row>
    <row r="616">
      <c r="M616" s="68"/>
    </row>
    <row r="617">
      <c r="M617" s="68"/>
    </row>
    <row r="618">
      <c r="M618" s="68"/>
    </row>
    <row r="619">
      <c r="M619" s="68"/>
    </row>
    <row r="620">
      <c r="M620" s="68"/>
    </row>
    <row r="621">
      <c r="M621" s="68"/>
    </row>
    <row r="622">
      <c r="M622" s="68"/>
    </row>
    <row r="623">
      <c r="M623" s="68"/>
    </row>
    <row r="624">
      <c r="M624" s="68"/>
    </row>
    <row r="625">
      <c r="M625" s="68"/>
    </row>
    <row r="626">
      <c r="M626" s="68"/>
    </row>
    <row r="627">
      <c r="M627" s="68"/>
    </row>
    <row r="628">
      <c r="M628" s="68"/>
    </row>
    <row r="629">
      <c r="M629" s="68"/>
    </row>
    <row r="630">
      <c r="M630" s="68"/>
    </row>
    <row r="631">
      <c r="M631" s="68"/>
    </row>
    <row r="632">
      <c r="M632" s="68"/>
    </row>
    <row r="633">
      <c r="M633" s="68"/>
    </row>
    <row r="634">
      <c r="M634" s="68"/>
    </row>
    <row r="635">
      <c r="M635" s="68"/>
    </row>
    <row r="636">
      <c r="M636" s="68"/>
    </row>
    <row r="637">
      <c r="M637" s="68"/>
    </row>
    <row r="638">
      <c r="M638" s="68"/>
    </row>
    <row r="639">
      <c r="M639" s="68"/>
    </row>
    <row r="640">
      <c r="M640" s="68"/>
    </row>
    <row r="641">
      <c r="M641" s="68"/>
    </row>
    <row r="642">
      <c r="M642" s="68"/>
    </row>
    <row r="643">
      <c r="M643" s="68"/>
    </row>
    <row r="644">
      <c r="M644" s="68"/>
    </row>
    <row r="645">
      <c r="M645" s="68"/>
    </row>
    <row r="646">
      <c r="M646" s="68"/>
    </row>
    <row r="647">
      <c r="M647" s="68"/>
    </row>
    <row r="648">
      <c r="M648" s="68"/>
    </row>
    <row r="649">
      <c r="M649" s="68"/>
    </row>
    <row r="650">
      <c r="M650" s="68"/>
    </row>
    <row r="651">
      <c r="M651" s="68"/>
    </row>
    <row r="652">
      <c r="M652" s="68"/>
    </row>
    <row r="653">
      <c r="M653" s="68"/>
    </row>
    <row r="654">
      <c r="M654" s="68"/>
    </row>
    <row r="655">
      <c r="M655" s="68"/>
    </row>
    <row r="656">
      <c r="M656" s="68"/>
    </row>
    <row r="657">
      <c r="M657" s="68"/>
    </row>
    <row r="658">
      <c r="M658" s="68"/>
    </row>
    <row r="659">
      <c r="M659" s="68"/>
    </row>
    <row r="660">
      <c r="M660" s="68"/>
    </row>
    <row r="661">
      <c r="M661" s="68"/>
    </row>
    <row r="662">
      <c r="M662" s="68"/>
    </row>
    <row r="663">
      <c r="M663" s="68"/>
    </row>
    <row r="664">
      <c r="M664" s="68"/>
    </row>
    <row r="665">
      <c r="M665" s="68"/>
    </row>
    <row r="666">
      <c r="M666" s="68"/>
    </row>
    <row r="667">
      <c r="M667" s="68"/>
    </row>
    <row r="668">
      <c r="M668" s="68"/>
    </row>
    <row r="669">
      <c r="M669" s="68"/>
    </row>
    <row r="670">
      <c r="M670" s="68"/>
    </row>
    <row r="671">
      <c r="M671" s="68"/>
    </row>
    <row r="672">
      <c r="M672" s="68"/>
    </row>
    <row r="673">
      <c r="M673" s="68"/>
    </row>
    <row r="674">
      <c r="M674" s="68"/>
    </row>
    <row r="675">
      <c r="M675" s="68"/>
    </row>
    <row r="676">
      <c r="M676" s="68"/>
    </row>
    <row r="677">
      <c r="M677" s="68"/>
    </row>
    <row r="678">
      <c r="M678" s="68"/>
    </row>
    <row r="679">
      <c r="M679" s="68"/>
    </row>
    <row r="680">
      <c r="M680" s="68"/>
    </row>
    <row r="681">
      <c r="M681" s="68"/>
    </row>
    <row r="682">
      <c r="M682" s="68"/>
    </row>
    <row r="683">
      <c r="M683" s="68"/>
    </row>
    <row r="684">
      <c r="M684" s="68"/>
    </row>
    <row r="685">
      <c r="M685" s="68"/>
    </row>
    <row r="686">
      <c r="M686" s="68"/>
    </row>
    <row r="687">
      <c r="M687" s="68"/>
    </row>
    <row r="688">
      <c r="M688" s="68"/>
    </row>
    <row r="689">
      <c r="M689" s="68"/>
    </row>
    <row r="690">
      <c r="M690" s="68"/>
    </row>
    <row r="691">
      <c r="M691" s="68"/>
    </row>
    <row r="692">
      <c r="M692" s="68"/>
    </row>
    <row r="693">
      <c r="M693" s="68"/>
    </row>
    <row r="694">
      <c r="M694" s="68"/>
    </row>
    <row r="695">
      <c r="M695" s="68"/>
    </row>
    <row r="696">
      <c r="M696" s="68"/>
    </row>
    <row r="697">
      <c r="M697" s="68"/>
    </row>
    <row r="698">
      <c r="M698" s="68"/>
    </row>
    <row r="699">
      <c r="M699" s="68"/>
    </row>
    <row r="700">
      <c r="M700" s="68"/>
    </row>
    <row r="701">
      <c r="M701" s="68"/>
    </row>
    <row r="702">
      <c r="M702" s="68"/>
    </row>
    <row r="703">
      <c r="M703" s="68"/>
    </row>
    <row r="704">
      <c r="M704" s="68"/>
    </row>
    <row r="705">
      <c r="M705" s="68"/>
    </row>
    <row r="706">
      <c r="M706" s="68"/>
    </row>
    <row r="707">
      <c r="M707" s="68"/>
    </row>
    <row r="708">
      <c r="M708" s="68"/>
    </row>
    <row r="709">
      <c r="M709" s="68"/>
    </row>
    <row r="710">
      <c r="M710" s="68"/>
    </row>
    <row r="711">
      <c r="M711" s="68"/>
    </row>
    <row r="712">
      <c r="M712" s="68"/>
    </row>
    <row r="713">
      <c r="M713" s="68"/>
    </row>
    <row r="714">
      <c r="M714" s="68"/>
    </row>
    <row r="715">
      <c r="M715" s="68"/>
    </row>
    <row r="716">
      <c r="M716" s="68"/>
    </row>
    <row r="717">
      <c r="M717" s="68"/>
    </row>
    <row r="718">
      <c r="M718" s="68"/>
    </row>
    <row r="719">
      <c r="M719" s="68"/>
    </row>
    <row r="720">
      <c r="M720" s="68"/>
    </row>
    <row r="721">
      <c r="M721" s="68"/>
    </row>
    <row r="722">
      <c r="M722" s="68"/>
    </row>
    <row r="723">
      <c r="M723" s="68"/>
    </row>
    <row r="724">
      <c r="M724" s="68"/>
    </row>
    <row r="725">
      <c r="M725" s="68"/>
    </row>
    <row r="726">
      <c r="M726" s="68"/>
    </row>
    <row r="727">
      <c r="M727" s="68"/>
    </row>
    <row r="728">
      <c r="M728" s="68"/>
    </row>
    <row r="729">
      <c r="M729" s="68"/>
    </row>
    <row r="730">
      <c r="M730" s="68"/>
    </row>
    <row r="731">
      <c r="M731" s="68"/>
    </row>
    <row r="732">
      <c r="M732" s="68"/>
    </row>
    <row r="733">
      <c r="M733" s="68"/>
    </row>
    <row r="734">
      <c r="M734" s="68"/>
    </row>
    <row r="735">
      <c r="M735" s="68"/>
    </row>
    <row r="736">
      <c r="M736" s="68"/>
    </row>
    <row r="737">
      <c r="M737" s="68"/>
    </row>
    <row r="738">
      <c r="M738" s="68"/>
    </row>
    <row r="739">
      <c r="M739" s="68"/>
    </row>
    <row r="740">
      <c r="M740" s="68"/>
    </row>
    <row r="741">
      <c r="M741" s="68"/>
    </row>
    <row r="742">
      <c r="M742" s="68"/>
    </row>
    <row r="743">
      <c r="M743" s="68"/>
    </row>
    <row r="744">
      <c r="M744" s="68"/>
    </row>
    <row r="745">
      <c r="M745" s="68"/>
    </row>
    <row r="746">
      <c r="M746" s="68"/>
    </row>
    <row r="747">
      <c r="M747" s="68"/>
    </row>
    <row r="748">
      <c r="M748" s="68"/>
    </row>
    <row r="749">
      <c r="M749" s="68"/>
    </row>
    <row r="750">
      <c r="M750" s="68"/>
    </row>
    <row r="751">
      <c r="M751" s="68"/>
    </row>
    <row r="752">
      <c r="M752" s="68"/>
    </row>
    <row r="753">
      <c r="M753" s="68"/>
    </row>
    <row r="754">
      <c r="M754" s="68"/>
    </row>
    <row r="755">
      <c r="M755" s="68"/>
    </row>
    <row r="756">
      <c r="M756" s="68"/>
    </row>
    <row r="757">
      <c r="M757" s="68"/>
    </row>
    <row r="758">
      <c r="M758" s="68"/>
    </row>
    <row r="759">
      <c r="M759" s="68"/>
    </row>
    <row r="760">
      <c r="M760" s="68"/>
    </row>
    <row r="761">
      <c r="M761" s="68"/>
    </row>
    <row r="762">
      <c r="M762" s="68"/>
    </row>
    <row r="763">
      <c r="M763" s="68"/>
    </row>
    <row r="764">
      <c r="M764" s="68"/>
    </row>
    <row r="765">
      <c r="M765" s="68"/>
    </row>
    <row r="766">
      <c r="M766" s="68"/>
    </row>
    <row r="767">
      <c r="M767" s="68"/>
    </row>
    <row r="768">
      <c r="M768" s="68"/>
    </row>
    <row r="769">
      <c r="M769" s="68"/>
    </row>
    <row r="770">
      <c r="M770" s="68"/>
    </row>
    <row r="771">
      <c r="M771" s="68"/>
    </row>
    <row r="772">
      <c r="M772" s="68"/>
    </row>
    <row r="773">
      <c r="M773" s="68"/>
    </row>
    <row r="774">
      <c r="M774" s="68"/>
    </row>
    <row r="775">
      <c r="M775" s="68"/>
    </row>
    <row r="776">
      <c r="M776" s="68"/>
    </row>
    <row r="777">
      <c r="M777" s="68"/>
    </row>
    <row r="778">
      <c r="M778" s="68"/>
    </row>
    <row r="779">
      <c r="M779" s="68"/>
    </row>
    <row r="780">
      <c r="M780" s="68"/>
    </row>
    <row r="781">
      <c r="M781" s="68"/>
    </row>
    <row r="782">
      <c r="M782" s="68"/>
    </row>
    <row r="783">
      <c r="M783" s="68"/>
    </row>
    <row r="784">
      <c r="M784" s="68"/>
    </row>
    <row r="785">
      <c r="M785" s="68"/>
    </row>
    <row r="786">
      <c r="M786" s="68"/>
    </row>
    <row r="787">
      <c r="M787" s="68"/>
    </row>
    <row r="788">
      <c r="M788" s="68"/>
    </row>
    <row r="789">
      <c r="M789" s="68"/>
    </row>
    <row r="790">
      <c r="M790" s="68"/>
    </row>
    <row r="791">
      <c r="M791" s="68"/>
    </row>
    <row r="792">
      <c r="M792" s="68"/>
    </row>
    <row r="793">
      <c r="M793" s="68"/>
    </row>
    <row r="794">
      <c r="M794" s="68"/>
    </row>
    <row r="795">
      <c r="M795" s="68"/>
    </row>
    <row r="796">
      <c r="M796" s="68"/>
    </row>
    <row r="797">
      <c r="M797" s="68"/>
    </row>
    <row r="798">
      <c r="M798" s="68"/>
    </row>
    <row r="799">
      <c r="M799" s="68"/>
    </row>
    <row r="800">
      <c r="M800" s="68"/>
    </row>
    <row r="801">
      <c r="M801" s="68"/>
    </row>
    <row r="802">
      <c r="M802" s="68"/>
    </row>
    <row r="803">
      <c r="M803" s="68"/>
    </row>
    <row r="804">
      <c r="M804" s="68"/>
    </row>
    <row r="805">
      <c r="M805" s="68"/>
    </row>
    <row r="806">
      <c r="M806" s="68"/>
    </row>
    <row r="807">
      <c r="M807" s="68"/>
    </row>
    <row r="808">
      <c r="M808" s="68"/>
    </row>
    <row r="809">
      <c r="M809" s="68"/>
    </row>
    <row r="810">
      <c r="M810" s="68"/>
    </row>
    <row r="811">
      <c r="M811" s="68"/>
    </row>
    <row r="812">
      <c r="M812" s="68"/>
    </row>
    <row r="813">
      <c r="M813" s="68"/>
    </row>
    <row r="814">
      <c r="M814" s="68"/>
    </row>
    <row r="815">
      <c r="M815" s="68"/>
    </row>
    <row r="816">
      <c r="M816" s="68"/>
    </row>
    <row r="817">
      <c r="M817" s="68"/>
    </row>
    <row r="818">
      <c r="M818" s="68"/>
    </row>
    <row r="819">
      <c r="M819" s="68"/>
    </row>
    <row r="820">
      <c r="M820" s="68"/>
    </row>
    <row r="821">
      <c r="M821" s="68"/>
    </row>
    <row r="822">
      <c r="M822" s="68"/>
    </row>
    <row r="823">
      <c r="M823" s="68"/>
    </row>
    <row r="824">
      <c r="M824" s="68"/>
    </row>
    <row r="825">
      <c r="M825" s="68"/>
    </row>
    <row r="826">
      <c r="M826" s="68"/>
    </row>
    <row r="827">
      <c r="M827" s="68"/>
    </row>
    <row r="828">
      <c r="M828" s="68"/>
    </row>
    <row r="829">
      <c r="M829" s="68"/>
    </row>
    <row r="830">
      <c r="M830" s="68"/>
    </row>
    <row r="831">
      <c r="M831" s="68"/>
    </row>
    <row r="832">
      <c r="M832" s="68"/>
    </row>
    <row r="833">
      <c r="M833" s="68"/>
    </row>
    <row r="834">
      <c r="M834" s="68"/>
    </row>
    <row r="835">
      <c r="M835" s="68"/>
    </row>
    <row r="836">
      <c r="M836" s="68"/>
    </row>
    <row r="837">
      <c r="M837" s="68"/>
    </row>
    <row r="838">
      <c r="M838" s="68"/>
    </row>
    <row r="839">
      <c r="M839" s="68"/>
    </row>
    <row r="840">
      <c r="M840" s="68"/>
    </row>
    <row r="841">
      <c r="M841" s="68"/>
    </row>
    <row r="842">
      <c r="M842" s="68"/>
    </row>
    <row r="843">
      <c r="M843" s="68"/>
    </row>
    <row r="844">
      <c r="M844" s="68"/>
    </row>
    <row r="845">
      <c r="M845" s="68"/>
    </row>
    <row r="846">
      <c r="M846" s="68"/>
    </row>
    <row r="847">
      <c r="M847" s="68"/>
    </row>
    <row r="848">
      <c r="M848" s="68"/>
    </row>
    <row r="849">
      <c r="M849" s="68"/>
    </row>
    <row r="850">
      <c r="M850" s="68"/>
    </row>
    <row r="851">
      <c r="M851" s="68"/>
    </row>
    <row r="852">
      <c r="M852" s="68"/>
    </row>
    <row r="853">
      <c r="M853" s="68"/>
    </row>
    <row r="854">
      <c r="M854" s="68"/>
    </row>
    <row r="855">
      <c r="M855" s="68"/>
    </row>
    <row r="856">
      <c r="M856" s="68"/>
    </row>
    <row r="857">
      <c r="M857" s="68"/>
    </row>
    <row r="858">
      <c r="M858" s="68"/>
    </row>
    <row r="859">
      <c r="M859" s="68"/>
    </row>
    <row r="860">
      <c r="M860" s="68"/>
    </row>
    <row r="861">
      <c r="M861" s="68"/>
    </row>
    <row r="862">
      <c r="M862" s="68"/>
    </row>
    <row r="863">
      <c r="M863" s="68"/>
    </row>
    <row r="864">
      <c r="M864" s="68"/>
    </row>
    <row r="865">
      <c r="M865" s="68"/>
    </row>
    <row r="866">
      <c r="M866" s="68"/>
    </row>
    <row r="867">
      <c r="M867" s="68"/>
    </row>
    <row r="868">
      <c r="M868" s="68"/>
    </row>
    <row r="869">
      <c r="M869" s="68"/>
    </row>
    <row r="870">
      <c r="M870" s="68"/>
    </row>
    <row r="871">
      <c r="M871" s="68"/>
    </row>
    <row r="872">
      <c r="M872" s="68"/>
    </row>
    <row r="873">
      <c r="M873" s="68"/>
    </row>
    <row r="874">
      <c r="M874" s="68"/>
    </row>
    <row r="875">
      <c r="M875" s="68"/>
    </row>
    <row r="876">
      <c r="M876" s="68"/>
    </row>
    <row r="877">
      <c r="M877" s="68"/>
    </row>
    <row r="878">
      <c r="M878" s="68"/>
    </row>
    <row r="879">
      <c r="M879" s="68"/>
    </row>
    <row r="880">
      <c r="M880" s="68"/>
    </row>
    <row r="881">
      <c r="M881" s="68"/>
    </row>
    <row r="882">
      <c r="M882" s="68"/>
    </row>
    <row r="883">
      <c r="M883" s="68"/>
    </row>
    <row r="884">
      <c r="M884" s="68"/>
    </row>
    <row r="885">
      <c r="M885" s="68"/>
    </row>
    <row r="886">
      <c r="M886" s="68"/>
    </row>
    <row r="887">
      <c r="M887" s="68"/>
    </row>
    <row r="888">
      <c r="M888" s="68"/>
    </row>
    <row r="889">
      <c r="M889" s="68"/>
    </row>
    <row r="890">
      <c r="M890" s="68"/>
    </row>
    <row r="891">
      <c r="M891" s="68"/>
    </row>
    <row r="892">
      <c r="M892" s="68"/>
    </row>
    <row r="893">
      <c r="M893" s="68"/>
    </row>
    <row r="894">
      <c r="M894" s="68"/>
    </row>
    <row r="895">
      <c r="M895" s="68"/>
    </row>
    <row r="896">
      <c r="M896" s="68"/>
    </row>
    <row r="897">
      <c r="M897" s="68"/>
    </row>
    <row r="898">
      <c r="M898" s="68"/>
    </row>
    <row r="899">
      <c r="M899" s="68"/>
    </row>
    <row r="900">
      <c r="M900" s="68"/>
    </row>
    <row r="901">
      <c r="M901" s="68"/>
    </row>
    <row r="902">
      <c r="M902" s="68"/>
    </row>
    <row r="903">
      <c r="M903" s="68"/>
    </row>
    <row r="904">
      <c r="M904" s="68"/>
    </row>
    <row r="905">
      <c r="M905" s="68"/>
    </row>
    <row r="906">
      <c r="M906" s="68"/>
    </row>
    <row r="907">
      <c r="M907" s="68"/>
    </row>
    <row r="908">
      <c r="M908" s="68"/>
    </row>
    <row r="909">
      <c r="M909" s="68"/>
    </row>
    <row r="910">
      <c r="M910" s="68"/>
    </row>
    <row r="911">
      <c r="M911" s="68"/>
    </row>
    <row r="912">
      <c r="M912" s="68"/>
    </row>
    <row r="913">
      <c r="M913" s="68"/>
    </row>
    <row r="914">
      <c r="M914" s="68"/>
    </row>
    <row r="915">
      <c r="M915" s="68"/>
    </row>
    <row r="916">
      <c r="M916" s="68"/>
    </row>
    <row r="917">
      <c r="M917" s="68"/>
    </row>
    <row r="918">
      <c r="M918" s="68"/>
    </row>
    <row r="919">
      <c r="M919" s="68"/>
    </row>
    <row r="920">
      <c r="M920" s="68"/>
    </row>
    <row r="921">
      <c r="M921" s="68"/>
    </row>
    <row r="922">
      <c r="M922" s="68"/>
    </row>
    <row r="923">
      <c r="M923" s="68"/>
    </row>
    <row r="924">
      <c r="M924" s="68"/>
    </row>
    <row r="925">
      <c r="M925" s="68"/>
    </row>
    <row r="926">
      <c r="M926" s="68"/>
    </row>
    <row r="927">
      <c r="M927" s="68"/>
    </row>
    <row r="928">
      <c r="M928" s="68"/>
    </row>
    <row r="929">
      <c r="M929" s="68"/>
    </row>
    <row r="930">
      <c r="M930" s="68"/>
    </row>
    <row r="931">
      <c r="M931" s="68"/>
    </row>
    <row r="932">
      <c r="M932" s="68"/>
    </row>
    <row r="933">
      <c r="M933" s="68"/>
    </row>
    <row r="934">
      <c r="M934" s="68"/>
    </row>
    <row r="935">
      <c r="M935" s="68"/>
    </row>
    <row r="936">
      <c r="M936" s="68"/>
    </row>
    <row r="937">
      <c r="M937" s="68"/>
    </row>
    <row r="938">
      <c r="M938" s="68"/>
    </row>
    <row r="939">
      <c r="M939" s="68"/>
    </row>
    <row r="940">
      <c r="M940" s="68"/>
    </row>
    <row r="941">
      <c r="M941" s="68"/>
    </row>
    <row r="942">
      <c r="M942" s="68"/>
    </row>
    <row r="943">
      <c r="M943" s="68"/>
    </row>
    <row r="944">
      <c r="M944" s="68"/>
    </row>
    <row r="945">
      <c r="M945" s="68"/>
    </row>
    <row r="946">
      <c r="M946" s="68"/>
    </row>
    <row r="947">
      <c r="M947" s="68"/>
    </row>
    <row r="948">
      <c r="M948" s="68"/>
    </row>
    <row r="949">
      <c r="M949" s="68"/>
    </row>
    <row r="950">
      <c r="M950" s="68"/>
    </row>
    <row r="951">
      <c r="M951" s="68"/>
    </row>
    <row r="952">
      <c r="M952" s="68"/>
    </row>
    <row r="953">
      <c r="M953" s="68"/>
    </row>
    <row r="954">
      <c r="M954" s="68"/>
    </row>
    <row r="955">
      <c r="M955" s="68"/>
    </row>
    <row r="956">
      <c r="M956" s="68"/>
    </row>
    <row r="957">
      <c r="M957" s="68"/>
    </row>
    <row r="958">
      <c r="M958" s="68"/>
    </row>
    <row r="959">
      <c r="M959" s="68"/>
    </row>
    <row r="960">
      <c r="M960" s="68"/>
    </row>
    <row r="961">
      <c r="M961" s="68"/>
    </row>
    <row r="962">
      <c r="M962" s="68"/>
    </row>
    <row r="963">
      <c r="M963" s="68"/>
    </row>
    <row r="964">
      <c r="M964" s="68"/>
    </row>
    <row r="965">
      <c r="M965" s="68"/>
    </row>
    <row r="966">
      <c r="M966" s="68"/>
    </row>
    <row r="967">
      <c r="M967" s="68"/>
    </row>
    <row r="968">
      <c r="M968" s="68"/>
    </row>
    <row r="969">
      <c r="M969" s="68"/>
    </row>
    <row r="970">
      <c r="M970" s="68"/>
    </row>
    <row r="971">
      <c r="M971" s="68"/>
    </row>
    <row r="972">
      <c r="M972" s="68"/>
    </row>
    <row r="973">
      <c r="M973" s="68"/>
    </row>
    <row r="974">
      <c r="M974" s="68"/>
    </row>
    <row r="975">
      <c r="M975" s="68"/>
    </row>
    <row r="976">
      <c r="M976" s="68"/>
    </row>
    <row r="977">
      <c r="M977" s="68"/>
    </row>
    <row r="978">
      <c r="M978" s="68"/>
    </row>
    <row r="979">
      <c r="M979" s="68"/>
    </row>
    <row r="980">
      <c r="M980" s="68"/>
    </row>
    <row r="981">
      <c r="M981" s="68"/>
    </row>
    <row r="982">
      <c r="M982" s="68"/>
    </row>
    <row r="983">
      <c r="M983" s="68"/>
    </row>
    <row r="984">
      <c r="M984" s="68"/>
    </row>
    <row r="985">
      <c r="M985" s="68"/>
    </row>
    <row r="986">
      <c r="M986" s="68"/>
    </row>
    <row r="987">
      <c r="M987" s="68"/>
    </row>
    <row r="988">
      <c r="M988" s="68"/>
    </row>
    <row r="989">
      <c r="M989" s="68"/>
    </row>
    <row r="990">
      <c r="M990" s="68"/>
    </row>
    <row r="991">
      <c r="M991" s="68"/>
    </row>
    <row r="992">
      <c r="M992" s="68"/>
    </row>
    <row r="993">
      <c r="M993" s="68"/>
    </row>
    <row r="994">
      <c r="M994" s="68"/>
    </row>
    <row r="995">
      <c r="M995" s="68"/>
    </row>
    <row r="996">
      <c r="M996" s="68"/>
    </row>
    <row r="997">
      <c r="M997" s="68"/>
    </row>
    <row r="998">
      <c r="M998" s="68"/>
    </row>
    <row r="999">
      <c r="M999" s="68"/>
    </row>
    <row r="1000">
      <c r="M1000" s="68"/>
    </row>
  </sheetData>
  <drawing r:id="rId1"/>
  <tableParts count="1">
    <tablePart r:id="rId3"/>
  </tableParts>
</worksheet>
</file>